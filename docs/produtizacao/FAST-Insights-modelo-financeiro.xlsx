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Modelo mensal" sheetId="3" state="visible" r:id="rId3"/>
    <sheet name="Resumo" sheetId="4" state="visible" r:id="rId4"/>
    <sheet name="Cenários" sheetId="5" state="visible" r:id="rId5"/>
    <sheet name="Descober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;(#,##0);&quot;–&quot;"/>
    <numFmt numFmtId="165" formatCode="R$ #,##0.00;(R$ #,##0.00);&quot;–&quot;"/>
    <numFmt numFmtId="166" formatCode="0.0%;(0.0%);&quot;–&quot;"/>
    <numFmt numFmtId="167" formatCode="#,##0.0"/>
    <numFmt numFmtId="168" formatCode="R$ #,##0;(R$ #,##0);&quot;–&quot;"/>
    <numFmt numFmtId="169" formatCode="0.0&quot;x&quot;"/>
    <numFmt numFmtId="170" formatCode="DD/MM/YYYY"/>
  </numFmts>
  <fonts count="18">
    <font>
      <name val="Calibri"/>
      <family val="2"/>
      <color theme="1"/>
      <sz val="11"/>
      <scheme val="minor"/>
    </font>
    <font>
      <name val="Arial"/>
      <b val="1"/>
      <color rgb="001B1A17"/>
      <sz val="14"/>
    </font>
    <font>
      <name val="Arial"/>
      <i val="1"/>
      <color rgb="006A675E"/>
      <sz val="10"/>
    </font>
    <font>
      <name val="Arial"/>
      <b val="1"/>
      <sz val="10"/>
    </font>
    <font>
      <name val="Arial"/>
      <sz val="10"/>
    </font>
    <font>
      <name val="Arial"/>
      <b val="1"/>
      <color rgb="001F4C88"/>
      <sz val="10"/>
    </font>
    <font>
      <name val="Arial"/>
      <b val="1"/>
      <color rgb="000000FF"/>
      <sz val="10"/>
    </font>
    <font>
      <name val="Arial"/>
      <b val="1"/>
      <color rgb="00000000"/>
      <sz val="10"/>
    </font>
    <font>
      <name val="Arial"/>
      <b val="1"/>
      <color rgb="00008000"/>
      <sz val="10"/>
    </font>
    <font>
      <name val="Arial"/>
      <b val="1"/>
      <color rgb="00FFFFFF"/>
      <sz val="9"/>
    </font>
    <font>
      <name val="Arial"/>
      <color rgb="000000FF"/>
      <sz val="10"/>
    </font>
    <font>
      <name val="Arial"/>
      <i val="1"/>
      <color rgb="008A5210"/>
      <sz val="10"/>
    </font>
    <font>
      <name val="Arial"/>
      <color rgb="00008000"/>
      <sz val="10"/>
    </font>
    <font>
      <name val="Arial"/>
      <b val="1"/>
      <i val="1"/>
      <color rgb="00FFFFFF"/>
      <sz val="9"/>
    </font>
    <font>
      <name val="Arial"/>
      <i val="1"/>
      <color rgb="008A5210"/>
      <sz val="9"/>
    </font>
    <font>
      <name val="Arial"/>
      <b val="1"/>
      <color rgb="001F4C88"/>
      <sz val="8"/>
    </font>
    <font>
      <name val="Arial"/>
      <color rgb="006A675E"/>
      <sz val="8"/>
    </font>
    <font>
      <name val="Arial"/>
      <sz val="8"/>
    </font>
  </fonts>
  <fills count="8">
    <fill>
      <patternFill/>
    </fill>
    <fill>
      <patternFill patternType="gray125"/>
    </fill>
    <fill>
      <patternFill patternType="solid">
        <fgColor rgb="00EAEFF7"/>
      </patternFill>
    </fill>
    <fill>
      <patternFill patternType="solid">
        <fgColor rgb="00FFFFCC"/>
      </patternFill>
    </fill>
    <fill>
      <patternFill patternType="solid">
        <fgColor rgb="001F4C88"/>
      </patternFill>
    </fill>
    <fill>
      <patternFill patternType="solid">
        <fgColor rgb="00F1F0EC"/>
      </patternFill>
    </fill>
    <fill>
      <patternFill patternType="solid">
        <fgColor rgb="00F7F0E4"/>
      </patternFill>
    </fill>
    <fill>
      <patternFill patternType="solid">
        <fgColor rgb="00F7E4E0"/>
      </patternFill>
    </fill>
  </fills>
  <borders count="2">
    <border>
      <left/>
      <right/>
      <top/>
      <bottom/>
      <diagonal/>
    </border>
    <border>
      <left style="thin">
        <color rgb="00D0CEC7"/>
      </left>
      <right style="thin">
        <color rgb="00D0CEC7"/>
      </right>
      <top style="thin">
        <color rgb="00D0CEC7"/>
      </top>
      <bottom style="thin">
        <color rgb="00D0CEC7"/>
      </bottom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0" pivotButton="0" quotePrefix="0" xfId="0"/>
    <xf numFmtId="0" fontId="0" fillId="2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3" borderId="0" pivotButton="0" quotePrefix="0" xfId="0"/>
    <xf numFmtId="0" fontId="9" fillId="4" borderId="1" applyAlignment="1" pivotButton="0" quotePrefix="0" xfId="0">
      <alignment horizontal="center" vertical="center" wrapText="1"/>
    </xf>
    <xf numFmtId="164" fontId="10" fillId="3" borderId="1" pivotButton="0" quotePrefix="0" xfId="0"/>
    <xf numFmtId="0" fontId="11" fillId="0" borderId="0" applyAlignment="1" pivotButton="0" quotePrefix="0" xfId="0">
      <alignment vertical="top" wrapText="1"/>
    </xf>
    <xf numFmtId="0" fontId="4" fillId="0" borderId="0" pivotButton="0" quotePrefix="0" xfId="0"/>
    <xf numFmtId="165" fontId="3" fillId="5" borderId="1" pivotButton="0" quotePrefix="0" xfId="0"/>
    <xf numFmtId="165" fontId="12" fillId="0" borderId="1" pivotButton="0" quotePrefix="0" xfId="0"/>
    <xf numFmtId="165" fontId="10" fillId="3" borderId="1" pivotButton="0" quotePrefix="0" xfId="0"/>
    <xf numFmtId="0" fontId="2" fillId="0" borderId="0" applyAlignment="1" pivotButton="0" quotePrefix="0" xfId="0">
      <alignment vertical="top" wrapText="1"/>
    </xf>
    <xf numFmtId="166" fontId="3" fillId="5" borderId="1" pivotButton="0" quotePrefix="0" xfId="0"/>
    <xf numFmtId="166" fontId="10" fillId="0" borderId="1" pivotButton="0" quotePrefix="0" xfId="0"/>
    <xf numFmtId="166" fontId="10" fillId="3" borderId="1" pivotButton="0" quotePrefix="0" xfId="0"/>
    <xf numFmtId="167" fontId="3" fillId="5" borderId="1" pivotButton="0" quotePrefix="0" xfId="0"/>
    <xf numFmtId="167" fontId="10" fillId="0" borderId="1" pivotButton="0" quotePrefix="0" xfId="0"/>
    <xf numFmtId="167" fontId="10" fillId="3" borderId="1" pivotButton="0" quotePrefix="0" xfId="0"/>
    <xf numFmtId="2" fontId="3" fillId="5" borderId="1" pivotButton="0" quotePrefix="0" xfId="0"/>
    <xf numFmtId="2" fontId="10" fillId="0" borderId="1" pivotButton="0" quotePrefix="0" xfId="0"/>
    <xf numFmtId="2" fontId="10" fillId="3" borderId="1" pivotButton="0" quotePrefix="0" xfId="0"/>
    <xf numFmtId="168" fontId="3" fillId="5" borderId="1" pivotButton="0" quotePrefix="0" xfId="0"/>
    <xf numFmtId="168" fontId="10" fillId="0" borderId="1" pivotButton="0" quotePrefix="0" xfId="0"/>
    <xf numFmtId="168" fontId="10" fillId="3" borderId="1" pivotButton="0" quotePrefix="0" xfId="0"/>
    <xf numFmtId="165" fontId="10" fillId="0" borderId="1" pivotButton="0" quotePrefix="0" xfId="0"/>
    <xf numFmtId="166" fontId="4" fillId="5" borderId="0" pivotButton="0" quotePrefix="0" xfId="0"/>
    <xf numFmtId="165" fontId="4" fillId="5" borderId="1" pivotButton="0" quotePrefix="0" xfId="0"/>
    <xf numFmtId="165" fontId="4" fillId="0" borderId="1" pivotButton="0" quotePrefix="0" xfId="0"/>
    <xf numFmtId="166" fontId="4" fillId="5" borderId="1" pivotButton="0" quotePrefix="0" xfId="0"/>
    <xf numFmtId="164" fontId="10" fillId="0" borderId="1" pivotButton="0" quotePrefix="0" xfId="0"/>
    <xf numFmtId="0" fontId="4" fillId="6" borderId="0" pivotButton="0" quotePrefix="0" xfId="0"/>
    <xf numFmtId="0" fontId="13" fillId="4" borderId="1" applyAlignment="1" pivotButton="0" quotePrefix="0" xfId="0">
      <alignment horizontal="center" vertical="center" wrapText="1"/>
    </xf>
    <xf numFmtId="164" fontId="4" fillId="0" borderId="0" pivotButton="0" quotePrefix="0" xfId="0"/>
    <xf numFmtId="164" fontId="12" fillId="0" borderId="1" pivotButton="0" quotePrefix="0" xfId="0"/>
    <xf numFmtId="167" fontId="12" fillId="0" borderId="1" pivotButton="0" quotePrefix="0" xfId="0"/>
    <xf numFmtId="167" fontId="4" fillId="0" borderId="1" pivotButton="0" quotePrefix="0" xfId="0"/>
    <xf numFmtId="168" fontId="12" fillId="0" borderId="1" pivotButton="0" quotePrefix="0" xfId="0"/>
    <xf numFmtId="168" fontId="4" fillId="0" borderId="1" pivotButton="0" quotePrefix="0" xfId="0"/>
    <xf numFmtId="164" fontId="4" fillId="0" borderId="1" pivotButton="0" quotePrefix="0" xfId="0"/>
    <xf numFmtId="164" fontId="4" fillId="5" borderId="0" pivotButton="0" quotePrefix="0" xfId="0"/>
    <xf numFmtId="164" fontId="12" fillId="5" borderId="1" pivotButton="0" quotePrefix="0" xfId="0"/>
    <xf numFmtId="167" fontId="12" fillId="5" borderId="1" pivotButton="0" quotePrefix="0" xfId="0"/>
    <xf numFmtId="167" fontId="4" fillId="5" borderId="1" pivotButton="0" quotePrefix="0" xfId="0"/>
    <xf numFmtId="168" fontId="12" fillId="5" borderId="1" pivotButton="0" quotePrefix="0" xfId="0"/>
    <xf numFmtId="168" fontId="4" fillId="5" borderId="1" pivotButton="0" quotePrefix="0" xfId="0"/>
    <xf numFmtId="164" fontId="4" fillId="5" borderId="1" pivotButton="0" quotePrefix="0" xfId="0"/>
    <xf numFmtId="168" fontId="8" fillId="3" borderId="1" pivotButton="0" quotePrefix="0" xfId="0"/>
    <xf numFmtId="164" fontId="8" fillId="3" borderId="1" pivotButton="0" quotePrefix="0" xfId="0"/>
    <xf numFmtId="167" fontId="8" fillId="3" borderId="1" pivotButton="0" quotePrefix="0" xfId="0"/>
    <xf numFmtId="166" fontId="12" fillId="0" borderId="1" pivotButton="0" quotePrefix="0" xfId="0"/>
    <xf numFmtId="169" fontId="12" fillId="0" borderId="1" pivotButton="0" quotePrefix="0" xfId="0"/>
    <xf numFmtId="0" fontId="14" fillId="0" borderId="0" pivotButton="0" quotePrefix="0" xfId="0"/>
    <xf numFmtId="0" fontId="3" fillId="5" borderId="0" pivotButton="0" quotePrefix="0" xfId="0"/>
    <xf numFmtId="165" fontId="12" fillId="5" borderId="1" pivotButton="0" quotePrefix="0" xfId="0"/>
    <xf numFmtId="166" fontId="12" fillId="5" borderId="1" pivotButton="0" quotePrefix="0" xfId="0"/>
    <xf numFmtId="2" fontId="12" fillId="5" borderId="1" pivotButton="0" quotePrefix="0" xfId="0"/>
    <xf numFmtId="0" fontId="3" fillId="6" borderId="0" pivotButton="0" quotePrefix="0" xfId="0"/>
    <xf numFmtId="165" fontId="12" fillId="6" borderId="1" pivotButton="0" quotePrefix="0" xfId="0"/>
    <xf numFmtId="166" fontId="12" fillId="6" borderId="1" pivotButton="0" quotePrefix="0" xfId="0"/>
    <xf numFmtId="164" fontId="12" fillId="6" borderId="1" pivotButton="0" quotePrefix="0" xfId="0"/>
    <xf numFmtId="168" fontId="12" fillId="6" borderId="1" pivotButton="0" quotePrefix="0" xfId="0"/>
    <xf numFmtId="167" fontId="12" fillId="6" borderId="1" pivotButton="0" quotePrefix="0" xfId="0"/>
    <xf numFmtId="2" fontId="12" fillId="6" borderId="1" pivotButton="0" quotePrefix="0" xfId="0"/>
    <xf numFmtId="2" fontId="12" fillId="0" borderId="1" pivotButton="0" quotePrefix="0" xfId="0"/>
    <xf numFmtId="164" fontId="4" fillId="6" borderId="1" pivotButton="0" quotePrefix="0" xfId="0"/>
    <xf numFmtId="168" fontId="4" fillId="6" borderId="1" pivotButton="0" quotePrefix="0" xfId="0"/>
    <xf numFmtId="0" fontId="14" fillId="0" borderId="0" applyAlignment="1" pivotButton="0" quotePrefix="0" xfId="0">
      <alignment vertical="top" wrapText="1"/>
    </xf>
    <xf numFmtId="0" fontId="15" fillId="0" borderId="0" pivotButton="0" quotePrefix="0" xfId="0"/>
    <xf numFmtId="0" fontId="16" fillId="0" borderId="0" pivotButton="0" quotePrefix="0" xfId="0"/>
    <xf numFmtId="167" fontId="17" fillId="0" borderId="0" pivotButton="0" quotePrefix="0" xfId="0"/>
    <xf numFmtId="168" fontId="17" fillId="0" borderId="0" pivotButton="0" quotePrefix="0" xfId="0"/>
    <xf numFmtId="164" fontId="17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10" fillId="3" borderId="1" applyAlignment="1" pivotButton="0" quotePrefix="0" xfId="0">
      <alignment vertical="top" wrapText="1"/>
    </xf>
    <xf numFmtId="170" fontId="10" fillId="3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Caixa acumulado (R$)</a:t>
            </a:r>
          </a:p>
        </rich>
      </tx>
    </title>
    <plotArea>
      <lineChart>
        <grouping val="standard"/>
        <ser>
          <idx val="0"/>
          <order val="0"/>
          <tx>
            <strRef>
              <f>'Modelo mensal'!M4</f>
            </strRef>
          </tx>
          <spPr>
            <a:ln w="22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'Modelo mensal'!$A$5:$A$40</f>
            </numRef>
          </cat>
          <val>
            <numRef>
              <f>'Modelo mensal'!$M$5:$M$40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Mês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Lojas pagando</a:t>
            </a:r>
          </a:p>
        </rich>
      </tx>
    </title>
    <plotArea>
      <lineChart>
        <grouping val="standard"/>
        <ser>
          <idx val="0"/>
          <order val="0"/>
          <tx>
            <strRef>
              <f>'Modelo mensal'!C4</f>
            </strRef>
          </tx>
          <spPr>
            <a:ln w="22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'Modelo mensal'!$A$5:$A$40</f>
            </numRef>
          </cat>
          <val>
            <numRef>
              <f>'Modelo mensal'!$C$5:$C$40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Mês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Lojas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648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21</row>
      <rowOff>0</rowOff>
    </from>
    <ext cx="648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88" customWidth="1" min="3" max="3"/>
  </cols>
  <sheetData>
    <row r="2">
      <c r="B2" s="1" t="inlineStr">
        <is>
          <t>FAST Insights — modelo financeiro</t>
        </is>
      </c>
    </row>
    <row r="3">
      <c r="B3" s="2" t="inlineStr">
        <is>
          <t>Suporte quantitativo ao business plan · Rodrigo Garcia, franqueado FAST Limão · 08/09/2026</t>
        </is>
      </c>
    </row>
    <row r="5">
      <c r="B5" s="3" t="inlineStr"/>
      <c r="C5" s="4" t="inlineStr"/>
    </row>
    <row r="6">
      <c r="A6" s="5" t="inlineStr">
        <is>
          <t>COMO USAR</t>
        </is>
      </c>
      <c r="B6" s="6" t="n"/>
      <c r="C6" s="6" t="n"/>
    </row>
    <row r="7" ht="30" customHeight="1">
      <c r="B7" s="3" t="inlineStr">
        <is>
          <t>1. Mude só o azul</t>
        </is>
      </c>
      <c r="C7" s="4" t="inlineStr">
        <is>
          <t>Toda célula com texto AZUL na aba Premissas é uma entrada que você pode editar. Células pretas são fórmulas — não digite por cima delas.</t>
        </is>
      </c>
    </row>
    <row r="8" ht="30" customHeight="1">
      <c r="B8" s="3" t="inlineStr">
        <is>
          <t>2. Fundo amarelo = decisivo</t>
        </is>
      </c>
      <c r="C8" s="4" t="inlineStr">
        <is>
          <t>As entradas com fundo amarelo são as que mais mexem no resultado. Comece por elas.</t>
        </is>
      </c>
    </row>
    <row r="9" ht="30" customHeight="1">
      <c r="B9" s="3" t="inlineStr">
        <is>
          <t>3. O resto se ajusta sozinho</t>
        </is>
      </c>
      <c r="C9" s="4" t="inlineStr">
        <is>
          <t>Modelo mensal, Resumo e Cenários recalculam a partir das Premissas. Nenhum número deste arquivo é digitado duas vezes.</t>
        </is>
      </c>
    </row>
    <row r="10" ht="30" customHeight="1">
      <c r="B10" s="3" t="inlineStr">
        <is>
          <t>4. Se abrir e vier vazio</t>
        </is>
      </c>
      <c r="C10" s="4" t="inlineStr">
        <is>
          <t>Alguns visualizadores não recalculam sozinhos. Abra no Excel, LibreOffice ou Google Sheets e mande recalcular (no Excel: Ctrl+Alt+F9).</t>
        </is>
      </c>
    </row>
    <row r="11">
      <c r="B11" s="3" t="inlineStr"/>
      <c r="C11" s="4" t="inlineStr"/>
    </row>
    <row r="12">
      <c r="A12" s="5" t="inlineStr">
        <is>
          <t>AS ABAS</t>
        </is>
      </c>
      <c r="B12" s="6" t="n"/>
      <c r="C12" s="6" t="n"/>
    </row>
    <row r="13" ht="30" customHeight="1">
      <c r="B13" s="3" t="inlineStr">
        <is>
          <t>Premissas</t>
        </is>
      </c>
      <c r="C13" s="4" t="inlineStr">
        <is>
          <t>Todas as entradas do modelo, agrupadas por tema, com a fonte de cada número.</t>
        </is>
      </c>
    </row>
    <row r="14" ht="30" customHeight="1">
      <c r="B14" s="3" t="inlineStr">
        <is>
          <t>Modelo mensal</t>
        </is>
      </c>
      <c r="C14" s="4" t="inlineStr">
        <is>
          <t>36 meses, linha a linha: lojas, receita, custos, resultado e caixa acumulado.</t>
        </is>
      </c>
    </row>
    <row r="15" ht="30" customHeight="1">
      <c r="B15" s="3" t="inlineStr">
        <is>
          <t>Resumo</t>
        </is>
      </c>
      <c r="C15" s="4" t="inlineStr">
        <is>
          <t>Os números de decisão — capital necessário, ponto de equilíbrio, economia unitária — e os dois gráficos.</t>
        </is>
      </c>
    </row>
    <row r="16" ht="30" customHeight="1">
      <c r="B16" s="3" t="inlineStr">
        <is>
          <t>Cenários</t>
        </is>
      </c>
      <c r="C16" s="4" t="inlineStr">
        <is>
          <t>Nove cenários calculados ao vivo, inclusive os de participação da franqueadora na receita.</t>
        </is>
      </c>
    </row>
    <row r="17" ht="30" customHeight="1">
      <c r="B17" s="3" t="inlineStr">
        <is>
          <t>Descoberta</t>
        </is>
      </c>
      <c r="C17" s="4" t="inlineStr">
        <is>
          <t>Os 34 itens que faltam validar. Marque o status e anote a resposta.</t>
        </is>
      </c>
    </row>
    <row r="18">
      <c r="B18" s="3" t="inlineStr"/>
      <c r="C18" s="4" t="inlineStr"/>
    </row>
    <row r="19">
      <c r="A19" s="5" t="inlineStr">
        <is>
          <t>LEGENDA DE CORES</t>
        </is>
      </c>
      <c r="B19" s="6" t="n"/>
      <c r="C19" s="6" t="n"/>
    </row>
    <row r="20" ht="30" customHeight="1">
      <c r="B20" s="7" t="inlineStr">
        <is>
          <t>Azul</t>
        </is>
      </c>
      <c r="C20" s="4" t="inlineStr">
        <is>
          <t>Número digitado — é uma premissa, e você pode mudar.</t>
        </is>
      </c>
    </row>
    <row r="21" ht="30" customHeight="1">
      <c r="B21" s="8" t="inlineStr">
        <is>
          <t>Preto</t>
        </is>
      </c>
      <c r="C21" s="4" t="inlineStr">
        <is>
          <t>Fórmula calculada dentro da própria aba.</t>
        </is>
      </c>
    </row>
    <row r="22" ht="30" customHeight="1">
      <c r="B22" s="9" t="inlineStr">
        <is>
          <t>Verde</t>
        </is>
      </c>
      <c r="C22" s="4" t="inlineStr">
        <is>
          <t>Fórmula que busca valor em outra aba.</t>
        </is>
      </c>
    </row>
    <row r="23" ht="30" customHeight="1">
      <c r="B23" s="10" t="inlineStr">
        <is>
          <t>Fundo amarelo</t>
        </is>
      </c>
      <c r="C23" s="4" t="inlineStr">
        <is>
          <t>Premissa decisiva, ou campo para você preencher.</t>
        </is>
      </c>
    </row>
    <row r="24">
      <c r="B24" s="3" t="inlineStr"/>
      <c r="C24" s="4" t="inlineStr"/>
    </row>
    <row r="25">
      <c r="A25" s="5" t="inlineStr">
        <is>
          <t>TRÊS AVISOS HONESTOS</t>
        </is>
      </c>
      <c r="B25" s="6" t="n"/>
      <c r="C25" s="6" t="n"/>
    </row>
    <row r="26" ht="30" customHeight="1">
      <c r="B26" s="3" t="inlineStr">
        <is>
          <t>Projeção, não previsão</t>
        </is>
      </c>
      <c r="C26" s="4" t="inlineStr">
        <is>
          <t>Cada linha aqui é uma suposição explícita. As que ainda não foram verificadas estão na aba Descoberta — seis delas são bloqueantes.</t>
        </is>
      </c>
    </row>
    <row r="27" ht="30" customHeight="1">
      <c r="B27" s="3" t="inlineStr">
        <is>
          <t>Antes de impostos, por padrão</t>
        </is>
      </c>
      <c r="C27" s="4" t="inlineStr">
        <is>
          <t>A alíquota sobre a receita da empresa de software vem zerada (item N3 da Descoberta). Preencha-a em Premissas assim que o contador responder: no Simples, algo entre 6% e 16%.</t>
        </is>
      </c>
    </row>
    <row r="28" ht="30" customHeight="1">
      <c r="B28" s="3" t="inlineStr">
        <is>
          <t>Adoção já é líquida de churn</t>
        </is>
      </c>
      <c r="C28" s="4" t="inlineStr">
        <is>
          <t>A curva de adoção representa lojas ativas, já descontando quem sai. O churn das Premissas serve só para calcular o LTV.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3" customWidth="1" min="3" max="3"/>
    <col width="13" customWidth="1" min="4" max="4"/>
    <col width="50" customWidth="1" min="5" max="5"/>
    <col width="2" customWidth="1" min="6" max="6"/>
  </cols>
  <sheetData>
    <row r="1">
      <c r="A1" s="1" t="inlineStr">
        <is>
          <t>Premissas</t>
        </is>
      </c>
    </row>
    <row r="2">
      <c r="A2" s="2" t="inlineStr">
        <is>
          <t>Edite apenas as células azuis. A célula B7 escolhe o modelo comercial e reconfigura sete premissas de uma vez.</t>
        </is>
      </c>
    </row>
    <row r="4" ht="28" customHeight="1">
      <c r="A4" s="11" t="inlineStr">
        <is>
          <t>Premissa</t>
        </is>
      </c>
      <c r="B4" s="11" t="inlineStr">
        <is>
          <t>Em uso</t>
        </is>
      </c>
      <c r="C4" s="11" t="inlineStr">
        <is>
          <t>Sem homologação</t>
        </is>
      </c>
      <c r="D4" s="11" t="inlineStr">
        <is>
          <t>Com homologação</t>
        </is>
      </c>
      <c r="E4" s="11" t="inlineStr">
        <is>
          <t>Origem / observação</t>
        </is>
      </c>
    </row>
    <row r="6">
      <c r="A6" s="5" t="inlineStr">
        <is>
          <t>MODELO COMERCIAL — a chave que muda tudo</t>
        </is>
      </c>
      <c r="B6" s="6" t="n"/>
      <c r="C6" s="6" t="n"/>
      <c r="D6" s="6" t="n"/>
      <c r="E6" s="6" t="n"/>
    </row>
    <row r="7" ht="42" customHeight="1">
      <c r="A7" s="3" t="inlineStr">
        <is>
          <t>Modelo em uso  (1 = COM homologação · 0 = SEM homologação)</t>
        </is>
      </c>
      <c r="B7" s="12" t="n">
        <v>1</v>
      </c>
      <c r="E7" s="13" t="inlineStr">
        <is>
          <t>1 = homologado obrigatório em toda a rede, com cobrança consolidada pela franqueadora. 0 = venda voluntária, loja a loja. Trocar aqui reconfigura as sete linhas abaixo de uma vez.</t>
        </is>
      </c>
    </row>
    <row r="8">
      <c r="C8" s="3" t="inlineStr">
        <is>
          <t>Sem homologação</t>
        </is>
      </c>
      <c r="D8" s="3" t="inlineStr">
        <is>
          <t>Com homologação</t>
        </is>
      </c>
    </row>
    <row r="9">
      <c r="A9" s="14" t="inlineStr">
        <is>
          <t>Preço por loja</t>
        </is>
      </c>
      <c r="B9" s="15">
        <f>IF($B$7=1,D9,C9)</f>
        <v>299.0</v>
      </c>
      <c r="C9" s="16">
        <f>B24</f>
        <v>319.0</v>
      </c>
      <c r="D9" s="17" t="n">
        <v>299</v>
      </c>
      <c r="E9" s="18" t="inlineStr">
        <is>
          <t>Sem homologação vem do mix de planos; com homologação é preço único para a rede toda.</t>
        </is>
      </c>
    </row>
    <row r="10">
      <c r="A10" s="14" t="inlineStr">
        <is>
          <t>Teto de adoção</t>
        </is>
      </c>
      <c r="B10" s="19">
        <f>IF($B$7=1,D10,C10)</f>
        <v>0.95</v>
      </c>
      <c r="C10" s="20" t="n">
        <v>0.65</v>
      </c>
      <c r="D10" s="21" t="n">
        <v>0.95</v>
      </c>
      <c r="E10" s="18" t="inlineStr">
        <is>
          <t>Obrigatório não é venda: os 5% que faltam são lojas em implantação e em transição.</t>
        </is>
      </c>
    </row>
    <row r="11">
      <c r="A11" s="14" t="inlineStr">
        <is>
          <t>Mês central da curva</t>
        </is>
      </c>
      <c r="B11" s="22">
        <f>IF($B$7=1,D11,C11)</f>
        <v>12.0</v>
      </c>
      <c r="C11" s="23" t="n">
        <v>16</v>
      </c>
      <c r="D11" s="24" t="n">
        <v>12</v>
      </c>
      <c r="E11" s="18" t="inlineStr">
        <is>
          <t>A franqueadora marca prazo — não há convencimento loja a loja.</t>
        </is>
      </c>
    </row>
    <row r="12">
      <c r="A12" s="14" t="inlineStr">
        <is>
          <t>Inclinação da curva</t>
        </is>
      </c>
      <c r="B12" s="25">
        <f>IF($B$7=1,D12,C12)</f>
        <v>0.45</v>
      </c>
      <c r="C12" s="26" t="n">
        <v>0.32</v>
      </c>
      <c r="D12" s="27" t="n">
        <v>0.45</v>
      </c>
      <c r="E12" s="18" t="inlineStr">
        <is>
          <t>Implantação em bloco, não gota a gota.</t>
        </is>
      </c>
    </row>
    <row r="13">
      <c r="A13" s="14" t="inlineStr">
        <is>
          <t>CAC por loja</t>
        </is>
      </c>
      <c r="B13" s="28">
        <f>IF($B$7=1,D13,C13)</f>
        <v>50.0</v>
      </c>
      <c r="C13" s="29" t="n">
        <v>400</v>
      </c>
      <c r="D13" s="30" t="n">
        <v>50</v>
      </c>
      <c r="E13" s="18" t="inlineStr">
        <is>
          <t>Sem esforço de venda, sobra só o onboarding.</t>
        </is>
      </c>
    </row>
    <row r="14">
      <c r="A14" s="14" t="inlineStr">
        <is>
          <t>Cobrança por loja</t>
        </is>
      </c>
      <c r="B14" s="15">
        <f>IF($B$7=1,D14,C14)</f>
        <v>0.0</v>
      </c>
      <c r="C14" s="31" t="n">
        <v>3</v>
      </c>
      <c r="D14" s="17" t="n">
        <v>0</v>
      </c>
      <c r="E14" s="18" t="inlineStr">
        <is>
          <t>No consolidado é uma fatura só: a taxa por loja desaparece.</t>
        </is>
      </c>
    </row>
    <row r="15">
      <c r="A15" s="14" t="inlineStr">
        <is>
          <t>Participação da franqueadora</t>
        </is>
      </c>
      <c r="B15" s="19">
        <f>IF($B$7=1,D15,C15)</f>
        <v>0.25</v>
      </c>
      <c r="C15" s="20" t="n">
        <v>0</v>
      </c>
      <c r="D15" s="21" t="n">
        <v>0.25</v>
      </c>
      <c r="E15" s="18" t="inlineStr">
        <is>
          <t>O que a franqueadora cobra para tornar obrigatório e cobrar das lojas por você.</t>
        </is>
      </c>
    </row>
    <row r="17">
      <c r="A17" s="5" t="inlineStr">
        <is>
          <t>PLANOS E MIX — usados apenas no modelo SEM homologação</t>
        </is>
      </c>
      <c r="B17" s="6" t="n"/>
      <c r="C17" s="6" t="n"/>
      <c r="D17" s="6" t="n"/>
      <c r="E17" s="6" t="n"/>
    </row>
    <row r="18">
      <c r="A18" s="3" t="inlineStr">
        <is>
          <t>Plano</t>
        </is>
      </c>
      <c r="B18" s="3" t="inlineStr">
        <is>
          <t>Preço R$/mês</t>
        </is>
      </c>
      <c r="C18" s="3" t="inlineStr">
        <is>
          <t>Mix</t>
        </is>
      </c>
    </row>
    <row r="19">
      <c r="A19" s="14" t="inlineStr">
        <is>
          <t>Essencial</t>
        </is>
      </c>
      <c r="B19" s="30" t="n">
        <v>199</v>
      </c>
      <c r="C19" s="21" t="n">
        <v>0.4</v>
      </c>
    </row>
    <row r="20">
      <c r="A20" s="14" t="inlineStr">
        <is>
          <t>Gestão</t>
        </is>
      </c>
      <c r="B20" s="30" t="n">
        <v>349</v>
      </c>
      <c r="C20" s="21" t="n">
        <v>0.45</v>
      </c>
    </row>
    <row r="21">
      <c r="A21" s="14" t="inlineStr">
        <is>
          <t>Crescimento</t>
        </is>
      </c>
      <c r="B21" s="30" t="n">
        <v>549</v>
      </c>
      <c r="C21" s="21" t="n">
        <v>0.15</v>
      </c>
    </row>
    <row r="22">
      <c r="A22" s="3" t="inlineStr">
        <is>
          <t>Soma do mix (precisa dar 100%)</t>
        </is>
      </c>
      <c r="C22" s="32">
        <f>SUM(C19:C21)</f>
        <v>1.0</v>
      </c>
    </row>
    <row r="24">
      <c r="A24" s="3" t="inlineStr">
        <is>
          <t>Ticket médio do mix</t>
        </is>
      </c>
      <c r="B24" s="33">
        <f>SUMPRODUCT(B19:B21,C19:C21)</f>
        <v>319.0</v>
      </c>
      <c r="E24" s="2" t="inlineStr">
        <is>
          <t>É este o preço usado quando B7 = 0.</t>
        </is>
      </c>
    </row>
    <row r="26">
      <c r="A26" s="5" t="inlineStr">
        <is>
          <t>CUSTO POR LOJA</t>
        </is>
      </c>
      <c r="B26" s="6" t="n"/>
      <c r="C26" s="6" t="n"/>
      <c r="D26" s="6" t="n"/>
      <c r="E26" s="6" t="n"/>
    </row>
    <row r="27">
      <c r="A27" s="14" t="inlineStr">
        <is>
          <t>Infraestrutura</t>
        </is>
      </c>
      <c r="B27" s="29" t="n">
        <v>8</v>
      </c>
      <c r="C27" s="2" t="inlineStr">
        <is>
          <t>R$/mês</t>
        </is>
      </c>
      <c r="E27" s="18" t="inlineStr">
        <is>
          <t>Servidor, banco e armazenamento rateados. A medir no piloto (item P1).</t>
        </is>
      </c>
    </row>
    <row r="28">
      <c r="A28" s="14" t="inlineStr">
        <is>
          <t>Suporte</t>
        </is>
      </c>
      <c r="B28" s="29" t="n">
        <v>34</v>
      </c>
      <c r="C28" s="2" t="inlineStr">
        <is>
          <t>R$/mês</t>
        </is>
      </c>
      <c r="E28" s="18" t="inlineStr">
        <is>
          <t>1 pessoa de CS para ~175 lojas. A medir no piloto (item N2).</t>
        </is>
      </c>
    </row>
    <row r="29">
      <c r="A29" s="14" t="inlineStr">
        <is>
          <t>Cobrança</t>
        </is>
      </c>
      <c r="B29" s="34">
        <f>Premissas!$B$14</f>
        <v>0.0</v>
      </c>
      <c r="C29" s="2" t="inlineStr">
        <is>
          <t>R$/mês</t>
        </is>
      </c>
      <c r="E29" s="18" t="inlineStr">
        <is>
          <t>Vem do bloco Modelo comercial (linha 14).</t>
        </is>
      </c>
    </row>
    <row r="30">
      <c r="A30" s="14" t="inlineStr">
        <is>
          <t>API / parceria de dados</t>
        </is>
      </c>
      <c r="B30" s="30" t="n">
        <v>0</v>
      </c>
      <c r="C30" s="2" t="inlineStr">
        <is>
          <t>R$/mês</t>
        </is>
      </c>
      <c r="E30" s="18" t="inlineStr">
        <is>
          <t>Zero enquanto a cota for do plano da loja. Itens T2 e T4 da Descoberta.</t>
        </is>
      </c>
    </row>
    <row r="31">
      <c r="A31" s="14" t="inlineStr">
        <is>
          <t>Custo variável total</t>
        </is>
      </c>
      <c r="B31" s="33">
        <f>SUM(B27:B30)</f>
        <v>42.0</v>
      </c>
      <c r="C31" s="2" t="inlineStr">
        <is>
          <t>R$/mês</t>
        </is>
      </c>
      <c r="E31" s="18" t="inlineStr">
        <is>
          <t>Soma das quatro linhas acima.</t>
        </is>
      </c>
    </row>
    <row r="32">
      <c r="A32" s="14" t="inlineStr">
        <is>
          <t>Margem de contribuição</t>
        </is>
      </c>
      <c r="B32" s="33">
        <f>Premissas!$B$9-B31</f>
        <v>257.0</v>
      </c>
      <c r="C32" s="2" t="inlineStr">
        <is>
          <t>R$/mês</t>
        </is>
      </c>
      <c r="E32" s="18" t="inlineStr">
        <is>
          <t>Preço por loja menos custo variável.</t>
        </is>
      </c>
    </row>
    <row r="33">
      <c r="A33" s="14" t="inlineStr">
        <is>
          <t>Margem de contribuição %</t>
        </is>
      </c>
      <c r="B33" s="35">
        <f>IF(Premissas!$B$9=0,0,B32/Premissas!$B$9)</f>
        <v>0.8595317725752508</v>
      </c>
      <c r="C33" s="2" t="inlineStr">
        <is>
          <t>%</t>
        </is>
      </c>
      <c r="E33" s="18" t="inlineStr"/>
    </row>
    <row r="35">
      <c r="A35" s="5" t="inlineStr">
        <is>
          <t>RETENÇÃO</t>
        </is>
      </c>
      <c r="B35" s="6" t="n"/>
      <c r="C35" s="6" t="n"/>
      <c r="D35" s="6" t="n"/>
      <c r="E35" s="6" t="n"/>
    </row>
    <row r="36">
      <c r="A36" s="14" t="inlineStr">
        <is>
          <t>Churn mensal</t>
        </is>
      </c>
      <c r="B36" s="20" t="n">
        <v>0.015</v>
      </c>
      <c r="C36" s="2" t="inlineStr">
        <is>
          <t>%/mês</t>
        </is>
      </c>
      <c r="E36" s="18" t="inlineStr">
        <is>
          <t>Conservador; inclui fechamento de loja. Usado só no LTV — a curva de adoção já é líquida. No modelo obrigatório o churn real tende a ser menor ainda.</t>
        </is>
      </c>
    </row>
    <row r="38">
      <c r="A38" s="5" t="inlineStr">
        <is>
          <t>REDE E CRONOGRAMA</t>
        </is>
      </c>
      <c r="B38" s="6" t="n"/>
      <c r="C38" s="6" t="n"/>
      <c r="D38" s="6" t="n"/>
      <c r="E38" s="6" t="n"/>
    </row>
    <row r="39">
      <c r="A39" s="14" t="inlineStr">
        <is>
          <t>Lojas na rede hoje</t>
        </is>
      </c>
      <c r="B39" s="36" t="n">
        <v>431</v>
      </c>
      <c r="C39" s="2" t="inlineStr">
        <is>
          <t>lojas</t>
        </is>
      </c>
      <c r="E39" s="18" t="inlineStr">
        <is>
          <t>Fast Escova 401 + Fast Spa 30 em operação no fim de 2026. Fonte: Times Brasil / Mapa das Franquias, 09/2026.</t>
        </is>
      </c>
    </row>
    <row r="40">
      <c r="A40" s="14" t="inlineStr">
        <is>
          <t>Lojas na rede no mês 36</t>
        </is>
      </c>
      <c r="B40" s="36" t="n">
        <v>600</v>
      </c>
      <c r="C40" s="2" t="inlineStr">
        <is>
          <t>lojas</t>
        </is>
      </c>
      <c r="E40" s="18" t="inlineStr">
        <is>
          <t>Plano de expansão: +159 lojas em 2026. Fonte: mesma acima.</t>
        </is>
      </c>
    </row>
    <row r="41">
      <c r="A41" s="14" t="inlineStr">
        <is>
          <t>Mês em que começam as vendas</t>
        </is>
      </c>
      <c r="B41" s="36" t="n">
        <v>7</v>
      </c>
      <c r="C41" s="2" t="inlineStr">
        <is>
          <t>mês</t>
        </is>
      </c>
      <c r="E41" s="18" t="inlineStr">
        <is>
          <t>Depois do acordo jurídico e do piloto.</t>
        </is>
      </c>
    </row>
    <row r="42">
      <c r="A42" s="14" t="inlineStr">
        <is>
          <t>Atraso na homologação</t>
        </is>
      </c>
      <c r="B42" s="12" t="n">
        <v>0</v>
      </c>
      <c r="C42" s="2" t="inlineStr">
        <is>
          <t>meses</t>
        </is>
      </c>
      <c r="E42" s="18" t="inlineStr">
        <is>
          <t>Empurra todo o cronograma. Teste 6 para ver o efeito de a franqueadora demorar.</t>
        </is>
      </c>
    </row>
    <row r="44">
      <c r="A44" s="5" t="inlineStr">
        <is>
          <t>PAINEL DA REDE (FRANQUEADORA)</t>
        </is>
      </c>
      <c r="B44" s="6" t="n"/>
      <c r="C44" s="6" t="n"/>
      <c r="D44" s="6" t="n"/>
      <c r="E44" s="6" t="n"/>
    </row>
    <row r="45">
      <c r="A45" s="14" t="inlineStr">
        <is>
          <t>Mensalidade</t>
        </is>
      </c>
      <c r="B45" s="30" t="n">
        <v>10000</v>
      </c>
      <c r="C45" s="2" t="inlineStr">
        <is>
          <t>R$/mês</t>
        </is>
      </c>
      <c r="E45" s="18" t="inlineStr">
        <is>
          <t>Meio da faixa proposta de R$ 8 a 15 mil.</t>
        </is>
      </c>
    </row>
    <row r="46">
      <c r="A46" s="14" t="inlineStr">
        <is>
          <t>Mês de início</t>
        </is>
      </c>
      <c r="B46" s="36" t="n">
        <v>9</v>
      </c>
      <c r="C46" s="2" t="inlineStr">
        <is>
          <t>mês</t>
        </is>
      </c>
      <c r="E46" s="18" t="inlineStr">
        <is>
          <t>Depois da Fase 2, quando o painel da rede existe.</t>
        </is>
      </c>
    </row>
    <row r="48">
      <c r="A48" s="5" t="inlineStr">
        <is>
          <t>CUSTO FIXO POR FASE</t>
        </is>
      </c>
      <c r="B48" s="6" t="n"/>
      <c r="C48" s="6" t="n"/>
      <c r="D48" s="6" t="n"/>
      <c r="E48" s="6" t="n"/>
    </row>
    <row r="49">
      <c r="A49" s="14" t="inlineStr">
        <is>
          <t>Fase 0 — até o mês 2</t>
        </is>
      </c>
      <c r="B49" s="29" t="n">
        <v>5000</v>
      </c>
      <c r="C49" s="2" t="inlineStr">
        <is>
          <t>R$/mês</t>
        </is>
      </c>
      <c r="E49" s="18" t="inlineStr">
        <is>
          <t>Jurídico e negociação.</t>
        </is>
      </c>
    </row>
    <row r="50">
      <c r="A50" s="14" t="inlineStr">
        <is>
          <t>Fase 1 — meses 3 a 5</t>
        </is>
      </c>
      <c r="B50" s="29" t="n">
        <v>22000</v>
      </c>
      <c r="C50" s="2" t="inlineStr">
        <is>
          <t>R$/mês</t>
        </is>
      </c>
      <c r="E50" s="18" t="inlineStr">
        <is>
          <t>Dev sênior parceiro 16k + infra 3k + jurídico 3k.</t>
        </is>
      </c>
    </row>
    <row r="51">
      <c r="A51" s="14" t="inlineStr">
        <is>
          <t>Fase 2 — meses 6 a 8</t>
        </is>
      </c>
      <c r="B51" s="29" t="n">
        <v>28000</v>
      </c>
      <c r="C51" s="2" t="inlineStr">
        <is>
          <t>R$/mês</t>
        </is>
      </c>
      <c r="E51" s="18" t="inlineStr">
        <is>
          <t>Acrescenta CS meio período.</t>
        </is>
      </c>
    </row>
    <row r="52">
      <c r="A52" s="14" t="inlineStr">
        <is>
          <t>Regime — mês 9 em diante</t>
        </is>
      </c>
      <c r="B52" s="30" t="n">
        <v>35000</v>
      </c>
      <c r="C52" s="2" t="inlineStr">
        <is>
          <t>R$/mês</t>
        </is>
      </c>
      <c r="E52" s="18" t="inlineStr">
        <is>
          <t>Dev 16k + CS 6k + infra e contabilidade 3k + pró-labore 10k. Sem pró-labore: 25.000.</t>
        </is>
      </c>
    </row>
    <row r="54">
      <c r="A54" s="5" t="inlineStr">
        <is>
          <t>INVESTIMENTOS NÃO RECORRENTES</t>
        </is>
      </c>
      <c r="B54" s="6" t="n"/>
      <c r="C54" s="6" t="n"/>
      <c r="D54" s="6" t="n"/>
      <c r="E54" s="6" t="n"/>
    </row>
    <row r="55">
      <c r="A55" s="14" t="inlineStr">
        <is>
          <t>Mês 1</t>
        </is>
      </c>
      <c r="B55" s="29" t="n">
        <v>8000</v>
      </c>
      <c r="C55" s="2" t="inlineStr">
        <is>
          <t>R$</t>
        </is>
      </c>
      <c r="E55" s="18" t="inlineStr">
        <is>
          <t>Fechar o acesso, contratos, jurídico inicial.</t>
        </is>
      </c>
    </row>
    <row r="56">
      <c r="A56" s="14" t="inlineStr">
        <is>
          <t>Mês 3</t>
        </is>
      </c>
      <c r="B56" s="29" t="n">
        <v>12000</v>
      </c>
      <c r="C56" s="2" t="inlineStr">
        <is>
          <t>R$</t>
        </is>
      </c>
      <c r="E56" s="18" t="inlineStr">
        <is>
          <t>Setup do MVP: infraestrutura, ferramentas, marca.</t>
        </is>
      </c>
    </row>
    <row r="57">
      <c r="A57" s="14" t="inlineStr">
        <is>
          <t>Mês 6</t>
        </is>
      </c>
      <c r="B57" s="29" t="n">
        <v>10000</v>
      </c>
      <c r="C57" s="2" t="inlineStr">
        <is>
          <t>R$</t>
        </is>
      </c>
      <c r="E57" s="18" t="inlineStr">
        <is>
          <t>Painel da rede e integração de cobrança.</t>
        </is>
      </c>
    </row>
    <row r="59">
      <c r="A59" s="5" t="inlineStr">
        <is>
          <t>IMPOSTOS</t>
        </is>
      </c>
      <c r="B59" s="6" t="n"/>
      <c r="C59" s="6" t="n"/>
      <c r="D59" s="6" t="n"/>
      <c r="E59" s="6" t="n"/>
    </row>
    <row r="60">
      <c r="A60" s="37" t="inlineStr">
        <is>
          <t>Impostos sobre a receita</t>
        </is>
      </c>
      <c r="B60" s="21" t="n">
        <v>0</v>
      </c>
      <c r="C60" s="2" t="inlineStr">
        <is>
          <t>%</t>
        </is>
      </c>
      <c r="E60" s="18" t="inlineStr">
        <is>
          <t>ITEM N3 EM ABERTO — no Simples anexo III, algo entre 6% e 16%. Preencher assim que o contador responder.</t>
        </is>
      </c>
    </row>
    <row r="62">
      <c r="A62" s="2" t="inlineStr">
        <is>
          <t>Fontes de mercado: Times Brasil, Mapa das Franquias e Portal do Franchising (setembro de 2026).</t>
        </is>
      </c>
    </row>
    <row r="63">
      <c r="A63" s="2" t="inlineStr">
        <is>
          <t>Cláusulas que sustentam a obrigatoriedade: 7.6, 12.8, 12.11, 2.3 e xlii do contrato de franquia assinado em 27/01/2026.</t>
        </is>
      </c>
    </row>
    <row r="65">
      <c r="A65" s="5" t="inlineStr">
        <is>
          <t>AUXILIARES — usados pela aba Cenários</t>
        </is>
      </c>
      <c r="B65" s="6" t="n"/>
      <c r="C65" s="6" t="n"/>
      <c r="D65" s="6" t="n"/>
      <c r="E65" s="6" t="n"/>
    </row>
    <row r="66">
      <c r="A66" s="14" t="inlineStr">
        <is>
          <t>Custo variável sem homologação</t>
        </is>
      </c>
      <c r="B66" s="34">
        <f>B27+B28+C14+B30</f>
        <v>45.0</v>
      </c>
      <c r="C66" s="2" t="inlineStr">
        <is>
          <t>R$/mês</t>
        </is>
      </c>
      <c r="E66" s="18" t="inlineStr">
        <is>
          <t>Infra + suporte + cobrança por loja + API.</t>
        </is>
      </c>
    </row>
    <row r="67">
      <c r="A67" s="14" t="inlineStr">
        <is>
          <t>Custo variável com homologação</t>
        </is>
      </c>
      <c r="B67" s="34">
        <f>B27+B28+D14+B30</f>
        <v>42.0</v>
      </c>
      <c r="C67" s="2" t="inlineStr">
        <is>
          <t>R$/mês</t>
        </is>
      </c>
      <c r="E67" s="18" t="inlineStr">
        <is>
          <t>A cobrança por loja desaparece: é uma fatura só.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3" customWidth="1" min="3" max="3"/>
    <col width="12" customWidth="1" min="4" max="4"/>
    <col width="15" customWidth="1" min="5" max="5"/>
    <col width="14" customWidth="1" min="6" max="6"/>
    <col width="15" customWidth="1" min="7" max="7"/>
    <col width="13" customWidth="1" min="8" max="8"/>
    <col width="14" customWidth="1" min="9" max="9"/>
    <col width="13" customWidth="1" min="10" max="10"/>
    <col width="13" customWidth="1" min="11" max="11"/>
    <col width="15" customWidth="1" min="12" max="12"/>
    <col width="16" customWidth="1" min="13" max="13"/>
    <col width="13" customWidth="1" min="14" max="14"/>
    <col width="14" customWidth="1" min="15" max="15"/>
  </cols>
  <sheetData>
    <row r="1">
      <c r="A1" s="1" t="inlineStr">
        <is>
          <t>Modelo mensal — 36 meses</t>
        </is>
      </c>
    </row>
    <row r="2">
      <c r="A2" s="2" t="inlineStr">
        <is>
          <t>Todas as colunas são fórmulas que leem a aba Premissas. Custos aparecem como negativos.</t>
        </is>
      </c>
    </row>
    <row r="4" ht="28" customHeight="1">
      <c r="A4" s="11" t="inlineStr">
        <is>
          <t>Mês</t>
        </is>
      </c>
      <c r="B4" s="11" t="inlineStr">
        <is>
          <t>Lojas na rede</t>
        </is>
      </c>
      <c r="C4" s="11" t="inlineStr">
        <is>
          <t>Lojas pagando</t>
        </is>
      </c>
      <c r="D4" s="11" t="inlineStr">
        <is>
          <t>Novas no mês</t>
        </is>
      </c>
      <c r="E4" s="11" t="inlineStr">
        <is>
          <t>Receita planos</t>
        </is>
      </c>
      <c r="F4" s="11" t="inlineStr">
        <is>
          <t>Painel da Rede</t>
        </is>
      </c>
      <c r="G4" s="11" t="inlineStr">
        <is>
          <t>Receita total</t>
        </is>
      </c>
      <c r="H4" s="11" t="inlineStr">
        <is>
          <t>Impostos</t>
        </is>
      </c>
      <c r="I4" s="11" t="inlineStr">
        <is>
          <t>Custo variável</t>
        </is>
      </c>
      <c r="J4" s="11" t="inlineStr">
        <is>
          <t>Custo fixo</t>
        </is>
      </c>
      <c r="K4" s="11" t="inlineStr">
        <is>
          <t>Investimento</t>
        </is>
      </c>
      <c r="L4" s="11" t="inlineStr">
        <is>
          <t>Resultado</t>
        </is>
      </c>
      <c r="M4" s="11" t="inlineStr">
        <is>
          <t>Caixa acumulado</t>
        </is>
      </c>
      <c r="N4" s="38" t="inlineStr">
        <is>
          <t>1º mês positivo</t>
        </is>
      </c>
      <c r="O4" s="38" t="inlineStr">
        <is>
          <t>1º mês caixa &gt; 0</t>
        </is>
      </c>
    </row>
    <row r="5">
      <c r="A5" s="39" t="n">
        <v>1</v>
      </c>
      <c r="B5" s="40">
        <f>Premissas!$B$39+(Premissas!$B$40-Premissas!$B$39)*A5/36</f>
        <v>435.69444444444446</v>
      </c>
      <c r="C5" s="41">
        <f>IF(A5-Premissas!$B$42&lt;Premissas!$B$41,0,Premissas!$B$10*B5/(1+EXP(-Premissas!$B$12*(A5-Premissas!$B$42-Premissas!$B$11))))</f>
        <v>0.0</v>
      </c>
      <c r="D5" s="42">
        <f>C5</f>
        <v>0.0</v>
      </c>
      <c r="E5" s="43">
        <f>C5*Premissas!$B$9*(1-Premissas!$B$15)</f>
        <v>0.0</v>
      </c>
      <c r="F5" s="43">
        <f>IF(A5&gt;=Premissas!$B$46+Premissas!$B$42,Premissas!$B$45*(1-Premissas!$B$15),0)</f>
        <v>0.0</v>
      </c>
      <c r="G5" s="44">
        <f>E5+F5</f>
        <v>0.0</v>
      </c>
      <c r="H5" s="43">
        <f>-G5*Premissas!$B$60</f>
        <v>-0.0</v>
      </c>
      <c r="I5" s="43">
        <f>-(C5*Premissas!$B$31+D5*Premissas!$B$13)</f>
        <v>-0.0</v>
      </c>
      <c r="J5" s="43">
        <f>-IF(A5-Premissas!$B$42&lt;=2,Premissas!$B$49,IF(A5-Premissas!$B$42&lt;=5,Premissas!$B$50,IF(A5-Premissas!$B$42&lt;=8,Premissas!$B$51,Premissas!$B$52)))</f>
        <v>-5000.0</v>
      </c>
      <c r="K5" s="43">
        <f>-IF(A5=1+Premissas!$B$42,Premissas!$B$55,IF(A5=3+Premissas!$B$42,Premissas!$B$56,IF(A5=6+Premissas!$B$42,Premissas!$B$57,0)))</f>
        <v>-8000.0</v>
      </c>
      <c r="L5" s="44">
        <f>G5+H5+I5+J5+K5</f>
        <v>-13000.0</v>
      </c>
      <c r="M5" s="44">
        <f>L5</f>
        <v>-13000.0</v>
      </c>
      <c r="N5" s="45">
        <f>IF(L5&gt;0,A5,9999)</f>
        <v>9999.0</v>
      </c>
      <c r="O5" s="45">
        <f>IF(M5&gt;0,A5,9999)</f>
        <v>9999.0</v>
      </c>
    </row>
    <row r="6">
      <c r="A6" s="39" t="n">
        <v>2</v>
      </c>
      <c r="B6" s="40">
        <f>Premissas!$B$39+(Premissas!$B$40-Premissas!$B$39)*A6/36</f>
        <v>440.3888888888889</v>
      </c>
      <c r="C6" s="41">
        <f>IF(A6-Premissas!$B$42&lt;Premissas!$B$41,0,Premissas!$B$10*B6/(1+EXP(-Premissas!$B$12*(A6-Premissas!$B$42-Premissas!$B$11))))</f>
        <v>0.0</v>
      </c>
      <c r="D6" s="42">
        <f>MAX(0,C6-C5)</f>
        <v>0.0</v>
      </c>
      <c r="E6" s="43">
        <f>C6*Premissas!$B$9*(1-Premissas!$B$15)</f>
        <v>0.0</v>
      </c>
      <c r="F6" s="43">
        <f>IF(A6&gt;=Premissas!$B$46+Premissas!$B$42,Premissas!$B$45*(1-Premissas!$B$15),0)</f>
        <v>0.0</v>
      </c>
      <c r="G6" s="44">
        <f>E6+F6</f>
        <v>0.0</v>
      </c>
      <c r="H6" s="43">
        <f>-G6*Premissas!$B$60</f>
        <v>-0.0</v>
      </c>
      <c r="I6" s="43">
        <f>-(C6*Premissas!$B$31+D6*Premissas!$B$13)</f>
        <v>-0.0</v>
      </c>
      <c r="J6" s="43">
        <f>-IF(A6-Premissas!$B$42&lt;=2,Premissas!$B$49,IF(A6-Premissas!$B$42&lt;=5,Premissas!$B$50,IF(A6-Premissas!$B$42&lt;=8,Premissas!$B$51,Premissas!$B$52)))</f>
        <v>-5000.0</v>
      </c>
      <c r="K6" s="43">
        <f>-IF(A6=1+Premissas!$B$42,Premissas!$B$55,IF(A6=3+Premissas!$B$42,Premissas!$B$56,IF(A6=6+Premissas!$B$42,Premissas!$B$57,0)))</f>
        <v>-0.0</v>
      </c>
      <c r="L6" s="44">
        <f>G6+H6+I6+J6+K6</f>
        <v>-5000.0</v>
      </c>
      <c r="M6" s="44">
        <f>M5+L6</f>
        <v>-18000.0</v>
      </c>
      <c r="N6" s="45">
        <f>IF(L6&gt;0,A6,9999)</f>
        <v>9999.0</v>
      </c>
      <c r="O6" s="45">
        <f>IF(M6&gt;0,A6,9999)</f>
        <v>9999.0</v>
      </c>
    </row>
    <row r="7">
      <c r="A7" s="39" t="n">
        <v>3</v>
      </c>
      <c r="B7" s="40">
        <f>Premissas!$B$39+(Premissas!$B$40-Premissas!$B$39)*A7/36</f>
        <v>445.0833333333333</v>
      </c>
      <c r="C7" s="41">
        <f>IF(A7-Premissas!$B$42&lt;Premissas!$B$41,0,Premissas!$B$10*B7/(1+EXP(-Premissas!$B$12*(A7-Premissas!$B$42-Premissas!$B$11))))</f>
        <v>0.0</v>
      </c>
      <c r="D7" s="42">
        <f>MAX(0,C7-C6)</f>
        <v>0.0</v>
      </c>
      <c r="E7" s="43">
        <f>C7*Premissas!$B$9*(1-Premissas!$B$15)</f>
        <v>0.0</v>
      </c>
      <c r="F7" s="43">
        <f>IF(A7&gt;=Premissas!$B$46+Premissas!$B$42,Premissas!$B$45*(1-Premissas!$B$15),0)</f>
        <v>0.0</v>
      </c>
      <c r="G7" s="44">
        <f>E7+F7</f>
        <v>0.0</v>
      </c>
      <c r="H7" s="43">
        <f>-G7*Premissas!$B$60</f>
        <v>-0.0</v>
      </c>
      <c r="I7" s="43">
        <f>-(C7*Premissas!$B$31+D7*Premissas!$B$13)</f>
        <v>-0.0</v>
      </c>
      <c r="J7" s="43">
        <f>-IF(A7-Premissas!$B$42&lt;=2,Premissas!$B$49,IF(A7-Premissas!$B$42&lt;=5,Premissas!$B$50,IF(A7-Premissas!$B$42&lt;=8,Premissas!$B$51,Premissas!$B$52)))</f>
        <v>-22000.0</v>
      </c>
      <c r="K7" s="43">
        <f>-IF(A7=1+Premissas!$B$42,Premissas!$B$55,IF(A7=3+Premissas!$B$42,Premissas!$B$56,IF(A7=6+Premissas!$B$42,Premissas!$B$57,0)))</f>
        <v>-12000.0</v>
      </c>
      <c r="L7" s="44">
        <f>G7+H7+I7+J7+K7</f>
        <v>-34000.0</v>
      </c>
      <c r="M7" s="44">
        <f>M6+L7</f>
        <v>-52000.0</v>
      </c>
      <c r="N7" s="45">
        <f>IF(L7&gt;0,A7,9999)</f>
        <v>9999.0</v>
      </c>
      <c r="O7" s="45">
        <f>IF(M7&gt;0,A7,9999)</f>
        <v>9999.0</v>
      </c>
    </row>
    <row r="8">
      <c r="A8" s="39" t="n">
        <v>4</v>
      </c>
      <c r="B8" s="40">
        <f>Premissas!$B$39+(Premissas!$B$40-Premissas!$B$39)*A8/36</f>
        <v>449.77777777777777</v>
      </c>
      <c r="C8" s="41">
        <f>IF(A8-Premissas!$B$42&lt;Premissas!$B$41,0,Premissas!$B$10*B8/(1+EXP(-Premissas!$B$12*(A8-Premissas!$B$42-Premissas!$B$11))))</f>
        <v>0.0</v>
      </c>
      <c r="D8" s="42">
        <f>MAX(0,C8-C7)</f>
        <v>0.0</v>
      </c>
      <c r="E8" s="43">
        <f>C8*Premissas!$B$9*(1-Premissas!$B$15)</f>
        <v>0.0</v>
      </c>
      <c r="F8" s="43">
        <f>IF(A8&gt;=Premissas!$B$46+Premissas!$B$42,Premissas!$B$45*(1-Premissas!$B$15),0)</f>
        <v>0.0</v>
      </c>
      <c r="G8" s="44">
        <f>E8+F8</f>
        <v>0.0</v>
      </c>
      <c r="H8" s="43">
        <f>-G8*Premissas!$B$60</f>
        <v>-0.0</v>
      </c>
      <c r="I8" s="43">
        <f>-(C8*Premissas!$B$31+D8*Premissas!$B$13)</f>
        <v>-0.0</v>
      </c>
      <c r="J8" s="43">
        <f>-IF(A8-Premissas!$B$42&lt;=2,Premissas!$B$49,IF(A8-Premissas!$B$42&lt;=5,Premissas!$B$50,IF(A8-Premissas!$B$42&lt;=8,Premissas!$B$51,Premissas!$B$52)))</f>
        <v>-22000.0</v>
      </c>
      <c r="K8" s="43">
        <f>-IF(A8=1+Premissas!$B$42,Premissas!$B$55,IF(A8=3+Premissas!$B$42,Premissas!$B$56,IF(A8=6+Premissas!$B$42,Premissas!$B$57,0)))</f>
        <v>-0.0</v>
      </c>
      <c r="L8" s="44">
        <f>G8+H8+I8+J8+K8</f>
        <v>-22000.0</v>
      </c>
      <c r="M8" s="44">
        <f>M7+L8</f>
        <v>-74000.0</v>
      </c>
      <c r="N8" s="45">
        <f>IF(L8&gt;0,A8,9999)</f>
        <v>9999.0</v>
      </c>
      <c r="O8" s="45">
        <f>IF(M8&gt;0,A8,9999)</f>
        <v>9999.0</v>
      </c>
    </row>
    <row r="9">
      <c r="A9" s="39" t="n">
        <v>5</v>
      </c>
      <c r="B9" s="40">
        <f>Premissas!$B$39+(Premissas!$B$40-Premissas!$B$39)*A9/36</f>
        <v>454.47222222222223</v>
      </c>
      <c r="C9" s="41">
        <f>IF(A9-Premissas!$B$42&lt;Premissas!$B$41,0,Premissas!$B$10*B9/(1+EXP(-Premissas!$B$12*(A9-Premissas!$B$42-Premissas!$B$11))))</f>
        <v>0.0</v>
      </c>
      <c r="D9" s="42">
        <f>MAX(0,C9-C8)</f>
        <v>0.0</v>
      </c>
      <c r="E9" s="43">
        <f>C9*Premissas!$B$9*(1-Premissas!$B$15)</f>
        <v>0.0</v>
      </c>
      <c r="F9" s="43">
        <f>IF(A9&gt;=Premissas!$B$46+Premissas!$B$42,Premissas!$B$45*(1-Premissas!$B$15),0)</f>
        <v>0.0</v>
      </c>
      <c r="G9" s="44">
        <f>E9+F9</f>
        <v>0.0</v>
      </c>
      <c r="H9" s="43">
        <f>-G9*Premissas!$B$60</f>
        <v>-0.0</v>
      </c>
      <c r="I9" s="43">
        <f>-(C9*Premissas!$B$31+D9*Premissas!$B$13)</f>
        <v>-0.0</v>
      </c>
      <c r="J9" s="43">
        <f>-IF(A9-Premissas!$B$42&lt;=2,Premissas!$B$49,IF(A9-Premissas!$B$42&lt;=5,Premissas!$B$50,IF(A9-Premissas!$B$42&lt;=8,Premissas!$B$51,Premissas!$B$52)))</f>
        <v>-22000.0</v>
      </c>
      <c r="K9" s="43">
        <f>-IF(A9=1+Premissas!$B$42,Premissas!$B$55,IF(A9=3+Premissas!$B$42,Premissas!$B$56,IF(A9=6+Premissas!$B$42,Premissas!$B$57,0)))</f>
        <v>-0.0</v>
      </c>
      <c r="L9" s="44">
        <f>G9+H9+I9+J9+K9</f>
        <v>-22000.0</v>
      </c>
      <c r="M9" s="44">
        <f>M8+L9</f>
        <v>-96000.0</v>
      </c>
      <c r="N9" s="45">
        <f>IF(L9&gt;0,A9,9999)</f>
        <v>9999.0</v>
      </c>
      <c r="O9" s="45">
        <f>IF(M9&gt;0,A9,9999)</f>
        <v>9999.0</v>
      </c>
    </row>
    <row r="10">
      <c r="A10" s="39" t="n">
        <v>6</v>
      </c>
      <c r="B10" s="40">
        <f>Premissas!$B$39+(Premissas!$B$40-Premissas!$B$39)*A10/36</f>
        <v>459.1666666666667</v>
      </c>
      <c r="C10" s="41">
        <f>IF(A10-Premissas!$B$42&lt;Premissas!$B$41,0,Premissas!$B$10*B10/(1+EXP(-Premissas!$B$12*(A10-Premissas!$B$42-Premissas!$B$11))))</f>
        <v>0.0</v>
      </c>
      <c r="D10" s="42">
        <f>MAX(0,C10-C9)</f>
        <v>0.0</v>
      </c>
      <c r="E10" s="43">
        <f>C10*Premissas!$B$9*(1-Premissas!$B$15)</f>
        <v>0.0</v>
      </c>
      <c r="F10" s="43">
        <f>IF(A10&gt;=Premissas!$B$46+Premissas!$B$42,Premissas!$B$45*(1-Premissas!$B$15),0)</f>
        <v>0.0</v>
      </c>
      <c r="G10" s="44">
        <f>E10+F10</f>
        <v>0.0</v>
      </c>
      <c r="H10" s="43">
        <f>-G10*Premissas!$B$60</f>
        <v>-0.0</v>
      </c>
      <c r="I10" s="43">
        <f>-(C10*Premissas!$B$31+D10*Premissas!$B$13)</f>
        <v>-0.0</v>
      </c>
      <c r="J10" s="43">
        <f>-IF(A10-Premissas!$B$42&lt;=2,Premissas!$B$49,IF(A10-Premissas!$B$42&lt;=5,Premissas!$B$50,IF(A10-Premissas!$B$42&lt;=8,Premissas!$B$51,Premissas!$B$52)))</f>
        <v>-28000.0</v>
      </c>
      <c r="K10" s="43">
        <f>-IF(A10=1+Premissas!$B$42,Premissas!$B$55,IF(A10=3+Premissas!$B$42,Premissas!$B$56,IF(A10=6+Premissas!$B$42,Premissas!$B$57,0)))</f>
        <v>-10000.0</v>
      </c>
      <c r="L10" s="44">
        <f>G10+H10+I10+J10+K10</f>
        <v>-38000.0</v>
      </c>
      <c r="M10" s="44">
        <f>M9+L10</f>
        <v>-134000.0</v>
      </c>
      <c r="N10" s="45">
        <f>IF(L10&gt;0,A10,9999)</f>
        <v>9999.0</v>
      </c>
      <c r="O10" s="45">
        <f>IF(M10&gt;0,A10,9999)</f>
        <v>9999.0</v>
      </c>
    </row>
    <row r="11">
      <c r="A11" s="39" t="n">
        <v>7</v>
      </c>
      <c r="B11" s="40">
        <f>Premissas!$B$39+(Premissas!$B$40-Premissas!$B$39)*A11/36</f>
        <v>463.8611111111111</v>
      </c>
      <c r="C11" s="41">
        <f>IF(A11-Premissas!$B$42&lt;Premissas!$B$41,0,Premissas!$B$10*B11/(1+EXP(-Premissas!$B$12*(A11-Premissas!$B$42-Premissas!$B$11))))</f>
        <v>42.01746329535327</v>
      </c>
      <c r="D11" s="42">
        <f>MAX(0,C11-C10)</f>
        <v>42.01746329535327</v>
      </c>
      <c r="E11" s="43">
        <f>C11*Premissas!$B$9*(1-Premissas!$B$15)</f>
        <v>9422.41614398297</v>
      </c>
      <c r="F11" s="43">
        <f>IF(A11&gt;=Premissas!$B$46+Premissas!$B$42,Premissas!$B$45*(1-Premissas!$B$15),0)</f>
        <v>0.0</v>
      </c>
      <c r="G11" s="44">
        <f>E11+F11</f>
        <v>9422.41614398297</v>
      </c>
      <c r="H11" s="43">
        <f>-G11*Premissas!$B$60</f>
        <v>-0.0</v>
      </c>
      <c r="I11" s="43">
        <f>-(C11*Premissas!$B$31+D11*Premissas!$B$13)</f>
        <v>-3865.6066231725003</v>
      </c>
      <c r="J11" s="43">
        <f>-IF(A11-Premissas!$B$42&lt;=2,Premissas!$B$49,IF(A11-Premissas!$B$42&lt;=5,Premissas!$B$50,IF(A11-Premissas!$B$42&lt;=8,Premissas!$B$51,Premissas!$B$52)))</f>
        <v>-28000.0</v>
      </c>
      <c r="K11" s="43">
        <f>-IF(A11=1+Premissas!$B$42,Premissas!$B$55,IF(A11=3+Premissas!$B$42,Premissas!$B$56,IF(A11=6+Premissas!$B$42,Premissas!$B$57,0)))</f>
        <v>-0.0</v>
      </c>
      <c r="L11" s="44">
        <f>G11+H11+I11+J11+K11</f>
        <v>-22443.19047918953</v>
      </c>
      <c r="M11" s="44">
        <f>M10+L11</f>
        <v>-156443.19047918954</v>
      </c>
      <c r="N11" s="45">
        <f>IF(L11&gt;0,A11,9999)</f>
        <v>9999.0</v>
      </c>
      <c r="O11" s="45">
        <f>IF(M11&gt;0,A11,9999)</f>
        <v>9999.0</v>
      </c>
    </row>
    <row r="12">
      <c r="A12" s="39" t="n">
        <v>8</v>
      </c>
      <c r="B12" s="40">
        <f>Premissas!$B$39+(Premissas!$B$40-Premissas!$B$39)*A12/36</f>
        <v>468.55555555555554</v>
      </c>
      <c r="C12" s="41">
        <f>IF(A12-Premissas!$B$42&lt;Premissas!$B$41,0,Premissas!$B$10*B12/(1+EXP(-Premissas!$B$12*(A12-Premissas!$B$42-Premissas!$B$11))))</f>
        <v>63.14184929456545</v>
      </c>
      <c r="D12" s="42">
        <f>MAX(0,C12-C11)</f>
        <v>21.124385999212187</v>
      </c>
      <c r="E12" s="43">
        <f>C12*Premissas!$B$9*(1-Premissas!$B$15)</f>
        <v>14159.559704306303</v>
      </c>
      <c r="F12" s="43">
        <f>IF(A12&gt;=Premissas!$B$46+Premissas!$B$42,Premissas!$B$45*(1-Premissas!$B$15),0)</f>
        <v>0.0</v>
      </c>
      <c r="G12" s="44">
        <f>E12+F12</f>
        <v>14159.559704306303</v>
      </c>
      <c r="H12" s="43">
        <f>-G12*Premissas!$B$60</f>
        <v>-0.0</v>
      </c>
      <c r="I12" s="43">
        <f>-(C12*Premissas!$B$31+D12*Premissas!$B$13)</f>
        <v>-3708.176970332358</v>
      </c>
      <c r="J12" s="43">
        <f>-IF(A12-Premissas!$B$42&lt;=2,Premissas!$B$49,IF(A12-Premissas!$B$42&lt;=5,Premissas!$B$50,IF(A12-Premissas!$B$42&lt;=8,Premissas!$B$51,Premissas!$B$52)))</f>
        <v>-28000.0</v>
      </c>
      <c r="K12" s="43">
        <f>-IF(A12=1+Premissas!$B$42,Premissas!$B$55,IF(A12=3+Premissas!$B$42,Premissas!$B$56,IF(A12=6+Premissas!$B$42,Premissas!$B$57,0)))</f>
        <v>-0.0</v>
      </c>
      <c r="L12" s="44">
        <f>G12+H12+I12+J12+K12</f>
        <v>-17548.617266026056</v>
      </c>
      <c r="M12" s="44">
        <f>M11+L12</f>
        <v>-173991.8077452156</v>
      </c>
      <c r="N12" s="45">
        <f>IF(L12&gt;0,A12,9999)</f>
        <v>9999.0</v>
      </c>
      <c r="O12" s="45">
        <f>IF(M12&gt;0,A12,9999)</f>
        <v>9999.0</v>
      </c>
    </row>
    <row r="13">
      <c r="A13" s="39" t="n">
        <v>9</v>
      </c>
      <c r="B13" s="40">
        <f>Premissas!$B$39+(Premissas!$B$40-Premissas!$B$39)*A13/36</f>
        <v>473.25</v>
      </c>
      <c r="C13" s="41">
        <f>IF(A13-Premissas!$B$42&lt;Premissas!$B$41,0,Premissas!$B$10*B13/(1+EXP(-Premissas!$B$12*(A13-Premissas!$B$42-Premissas!$B$11))))</f>
        <v>92.5567457820584</v>
      </c>
      <c r="D13" s="42">
        <f>MAX(0,C13-C12)</f>
        <v>29.414896487492946</v>
      </c>
      <c r="E13" s="43">
        <f>C13*Premissas!$B$9*(1-Premissas!$B$15)</f>
        <v>20755.8502416266</v>
      </c>
      <c r="F13" s="43">
        <f>IF(A13&gt;=Premissas!$B$46+Premissas!$B$42,Premissas!$B$45*(1-Premissas!$B$15),0)</f>
        <v>7500.0</v>
      </c>
      <c r="G13" s="44">
        <f>E13+F13</f>
        <v>28255.8502416266</v>
      </c>
      <c r="H13" s="43">
        <f>-G13*Premissas!$B$60</f>
        <v>-0.0</v>
      </c>
      <c r="I13" s="43">
        <f>-(C13*Premissas!$B$31+D13*Premissas!$B$13)</f>
        <v>-5358.1281472211</v>
      </c>
      <c r="J13" s="43">
        <f>-IF(A13-Premissas!$B$42&lt;=2,Premissas!$B$49,IF(A13-Premissas!$B$42&lt;=5,Premissas!$B$50,IF(A13-Premissas!$B$42&lt;=8,Premissas!$B$51,Premissas!$B$52)))</f>
        <v>-35000.0</v>
      </c>
      <c r="K13" s="43">
        <f>-IF(A13=1+Premissas!$B$42,Premissas!$B$55,IF(A13=3+Premissas!$B$42,Premissas!$B$56,IF(A13=6+Premissas!$B$42,Premissas!$B$57,0)))</f>
        <v>-0.0</v>
      </c>
      <c r="L13" s="44">
        <f>G13+H13+I13+J13+K13</f>
        <v>-12102.277905594503</v>
      </c>
      <c r="M13" s="44">
        <f>M12+L13</f>
        <v>-186094.0856508101</v>
      </c>
      <c r="N13" s="45">
        <f>IF(L13&gt;0,A13,9999)</f>
        <v>9999.0</v>
      </c>
      <c r="O13" s="45">
        <f>IF(M13&gt;0,A13,9999)</f>
        <v>9999.0</v>
      </c>
    </row>
    <row r="14">
      <c r="A14" s="39" t="n">
        <v>10</v>
      </c>
      <c r="B14" s="40">
        <f>Premissas!$B$39+(Premissas!$B$40-Premissas!$B$39)*A14/36</f>
        <v>477.94444444444446</v>
      </c>
      <c r="C14" s="41">
        <f>IF(A14-Premissas!$B$42&lt;Premissas!$B$41,0,Premissas!$B$10*B14/(1+EXP(-Premissas!$B$12*(A14-Premissas!$B$42-Premissas!$B$11))))</f>
        <v>131.24257541506867</v>
      </c>
      <c r="D14" s="42">
        <f>MAX(0,C14-C13)</f>
        <v>38.68582963301027</v>
      </c>
      <c r="E14" s="43">
        <f>C14*Premissas!$B$9*(1-Premissas!$B$15)</f>
        <v>29431.14753682915</v>
      </c>
      <c r="F14" s="43">
        <f>IF(A14&gt;=Premissas!$B$46+Premissas!$B$42,Premissas!$B$45*(1-Premissas!$B$15),0)</f>
        <v>7500.0</v>
      </c>
      <c r="G14" s="44">
        <f>E14+F14</f>
        <v>36931.14753682915</v>
      </c>
      <c r="H14" s="43">
        <f>-G14*Premissas!$B$60</f>
        <v>-0.0</v>
      </c>
      <c r="I14" s="43">
        <f>-(C14*Premissas!$B$31+D14*Premissas!$B$13)</f>
        <v>-7446.479649083398</v>
      </c>
      <c r="J14" s="43">
        <f>-IF(A14-Premissas!$B$42&lt;=2,Premissas!$B$49,IF(A14-Premissas!$B$42&lt;=5,Premissas!$B$50,IF(A14-Premissas!$B$42&lt;=8,Premissas!$B$51,Premissas!$B$52)))</f>
        <v>-35000.0</v>
      </c>
      <c r="K14" s="43">
        <f>-IF(A14=1+Premissas!$B$42,Premissas!$B$55,IF(A14=3+Premissas!$B$42,Premissas!$B$56,IF(A14=6+Premissas!$B$42,Premissas!$B$57,0)))</f>
        <v>-0.0</v>
      </c>
      <c r="L14" s="44">
        <f>G14+H14+I14+J14+K14</f>
        <v>-5515.3321122542475</v>
      </c>
      <c r="M14" s="44">
        <f>M13+L14</f>
        <v>-191609.41776306435</v>
      </c>
      <c r="N14" s="45">
        <f>IF(L14&gt;0,A14,9999)</f>
        <v>9999.0</v>
      </c>
      <c r="O14" s="45">
        <f>IF(M14&gt;0,A14,9999)</f>
        <v>9999.0</v>
      </c>
    </row>
    <row r="15">
      <c r="A15" s="39" t="n">
        <v>11</v>
      </c>
      <c r="B15" s="40">
        <f>Premissas!$B$39+(Premissas!$B$40-Premissas!$B$39)*A15/36</f>
        <v>482.6388888888889</v>
      </c>
      <c r="C15" s="41">
        <f>IF(A15-Premissas!$B$42&lt;Premissas!$B$41,0,Premissas!$B$10*B15/(1+EXP(-Premissas!$B$12*(A15-Premissas!$B$42-Premissas!$B$11))))</f>
        <v>178.5246151284904</v>
      </c>
      <c r="D15" s="42">
        <f>MAX(0,C15-C14)</f>
        <v>47.28203971342174</v>
      </c>
      <c r="E15" s="43">
        <f>C15*Premissas!$B$9*(1-Premissas!$B$15)</f>
        <v>40034.14494256397</v>
      </c>
      <c r="F15" s="43">
        <f>IF(A15&gt;=Premissas!$B$46+Premissas!$B$42,Premissas!$B$45*(1-Premissas!$B$15),0)</f>
        <v>7500.0</v>
      </c>
      <c r="G15" s="44">
        <f>E15+F15</f>
        <v>47534.14494256397</v>
      </c>
      <c r="H15" s="43">
        <f>-G15*Premissas!$B$60</f>
        <v>-0.0</v>
      </c>
      <c r="I15" s="43">
        <f>-(C15*Premissas!$B$31+D15*Premissas!$B$13)</f>
        <v>-9862.135821067684</v>
      </c>
      <c r="J15" s="43">
        <f>-IF(A15-Premissas!$B$42&lt;=2,Premissas!$B$49,IF(A15-Premissas!$B$42&lt;=5,Premissas!$B$50,IF(A15-Premissas!$B$42&lt;=8,Premissas!$B$51,Premissas!$B$52)))</f>
        <v>-35000.0</v>
      </c>
      <c r="K15" s="43">
        <f>-IF(A15=1+Premissas!$B$42,Premissas!$B$55,IF(A15=3+Premissas!$B$42,Premissas!$B$56,IF(A15=6+Premissas!$B$42,Premissas!$B$57,0)))</f>
        <v>-0.0</v>
      </c>
      <c r="L15" s="44">
        <f>G15+H15+I15+J15+K15</f>
        <v>2672.0091214962886</v>
      </c>
      <c r="M15" s="44">
        <f>M14+L15</f>
        <v>-188937.40864156806</v>
      </c>
      <c r="N15" s="45">
        <f>IF(L15&gt;0,A15,9999)</f>
        <v>11.0</v>
      </c>
      <c r="O15" s="45">
        <f>IF(M15&gt;0,A15,9999)</f>
        <v>9999.0</v>
      </c>
    </row>
    <row r="16">
      <c r="A16" s="46" t="n">
        <v>12</v>
      </c>
      <c r="B16" s="47">
        <f>Premissas!$B$39+(Premissas!$B$40-Premissas!$B$39)*A16/36</f>
        <v>487.3333333333333</v>
      </c>
      <c r="C16" s="48">
        <f>IF(A16-Premissas!$B$42&lt;Premissas!$B$41,0,Premissas!$B$10*B16/(1+EXP(-Premissas!$B$12*(A16-Premissas!$B$42-Premissas!$B$11))))</f>
        <v>231.48333333333332</v>
      </c>
      <c r="D16" s="49">
        <f>MAX(0,C16-C15)</f>
        <v>52.95871820484291</v>
      </c>
      <c r="E16" s="50">
        <f>C16*Premissas!$B$9*(1-Premissas!$B$15)</f>
        <v>51910.1375</v>
      </c>
      <c r="F16" s="50">
        <f>IF(A16&gt;=Premissas!$B$46+Premissas!$B$42,Premissas!$B$45*(1-Premissas!$B$15),0)</f>
        <v>7500.0</v>
      </c>
      <c r="G16" s="51">
        <f>E16+F16</f>
        <v>59410.1375</v>
      </c>
      <c r="H16" s="50">
        <f>-G16*Premissas!$B$60</f>
        <v>-0.0</v>
      </c>
      <c r="I16" s="50">
        <f>-(C16*Premissas!$B$31+D16*Premissas!$B$13)</f>
        <v>-12370.235910242145</v>
      </c>
      <c r="J16" s="50">
        <f>-IF(A16-Premissas!$B$42&lt;=2,Premissas!$B$49,IF(A16-Premissas!$B$42&lt;=5,Premissas!$B$50,IF(A16-Premissas!$B$42&lt;=8,Premissas!$B$51,Premissas!$B$52)))</f>
        <v>-35000.0</v>
      </c>
      <c r="K16" s="50">
        <f>-IF(A16=1+Premissas!$B$42,Premissas!$B$55,IF(A16=3+Premissas!$B$42,Premissas!$B$56,IF(A16=6+Premissas!$B$42,Premissas!$B$57,0)))</f>
        <v>-0.0</v>
      </c>
      <c r="L16" s="51">
        <f>G16+H16+I16+J16+K16</f>
        <v>12039.90158975785</v>
      </c>
      <c r="M16" s="51">
        <f>M15+L16</f>
        <v>-176897.50705181021</v>
      </c>
      <c r="N16" s="52">
        <f>IF(L16&gt;0,A16,9999)</f>
        <v>12.0</v>
      </c>
      <c r="O16" s="52">
        <f>IF(M16&gt;0,A16,9999)</f>
        <v>9999.0</v>
      </c>
    </row>
    <row r="17">
      <c r="A17" s="39" t="n">
        <v>13</v>
      </c>
      <c r="B17" s="40">
        <f>Premissas!$B$39+(Premissas!$B$40-Premissas!$B$39)*A17/36</f>
        <v>492.02777777777777</v>
      </c>
      <c r="C17" s="41">
        <f>IF(A17-Premissas!$B$42&lt;Premissas!$B$41,0,Premissas!$B$10*B17/(1+EXP(-Premissas!$B$12*(A17-Premissas!$B$42-Premissas!$B$11))))</f>
        <v>285.4288920387622</v>
      </c>
      <c r="D17" s="42">
        <f>MAX(0,C17-C16)</f>
        <v>53.94555870542891</v>
      </c>
      <c r="E17" s="43">
        <f>C17*Premissas!$B$9*(1-Premissas!$B$15)</f>
        <v>64007.42903969243</v>
      </c>
      <c r="F17" s="43">
        <f>IF(A17&gt;=Premissas!$B$46+Premissas!$B$42,Premissas!$B$45*(1-Premissas!$B$15),0)</f>
        <v>7500.0</v>
      </c>
      <c r="G17" s="44">
        <f>E17+F17</f>
        <v>71507.42903969243</v>
      </c>
      <c r="H17" s="43">
        <f>-G17*Premissas!$B$60</f>
        <v>-0.0</v>
      </c>
      <c r="I17" s="43">
        <f>-(C17*Premissas!$B$31+D17*Premissas!$B$13)</f>
        <v>-14685.29140089946</v>
      </c>
      <c r="J17" s="43">
        <f>-IF(A17-Premissas!$B$42&lt;=2,Premissas!$B$49,IF(A17-Premissas!$B$42&lt;=5,Premissas!$B$50,IF(A17-Premissas!$B$42&lt;=8,Premissas!$B$51,Premissas!$B$52)))</f>
        <v>-35000.0</v>
      </c>
      <c r="K17" s="43">
        <f>-IF(A17=1+Premissas!$B$42,Premissas!$B$55,IF(A17=3+Premissas!$B$42,Premissas!$B$56,IF(A17=6+Premissas!$B$42,Premissas!$B$57,0)))</f>
        <v>-0.0</v>
      </c>
      <c r="L17" s="44">
        <f>G17+H17+I17+J17+K17</f>
        <v>21822.137638792978</v>
      </c>
      <c r="M17" s="44">
        <f>M16+L17</f>
        <v>-155075.36941301724</v>
      </c>
      <c r="N17" s="45">
        <f>IF(L17&gt;0,A17,9999)</f>
        <v>13.0</v>
      </c>
      <c r="O17" s="45">
        <f>IF(M17&gt;0,A17,9999)</f>
        <v>9999.0</v>
      </c>
    </row>
    <row r="18">
      <c r="A18" s="39" t="n">
        <v>14</v>
      </c>
      <c r="B18" s="40">
        <f>Premissas!$B$39+(Premissas!$B$40-Premissas!$B$39)*A18/36</f>
        <v>496.72222222222223</v>
      </c>
      <c r="C18" s="41">
        <f>IF(A18-Premissas!$B$42&lt;Premissas!$B$41,0,Premissas!$B$10*B18/(1+EXP(-Premissas!$B$12*(A18-Premissas!$B$42-Premissas!$B$11))))</f>
        <v>335.4871959900918</v>
      </c>
      <c r="D18" s="42">
        <f>MAX(0,C18-C17)</f>
        <v>50.05830395132955</v>
      </c>
      <c r="E18" s="43">
        <f>C18*Premissas!$B$9*(1-Premissas!$B$15)</f>
        <v>75233.00370077808</v>
      </c>
      <c r="F18" s="43">
        <f>IF(A18&gt;=Premissas!$B$46+Premissas!$B$42,Premissas!$B$45*(1-Premissas!$B$15),0)</f>
        <v>7500.0</v>
      </c>
      <c r="G18" s="44">
        <f>E18+F18</f>
        <v>82733.00370077808</v>
      </c>
      <c r="H18" s="43">
        <f>-G18*Premissas!$B$60</f>
        <v>-0.0</v>
      </c>
      <c r="I18" s="43">
        <f>-(C18*Premissas!$B$31+D18*Premissas!$B$13)</f>
        <v>-16593.377429150332</v>
      </c>
      <c r="J18" s="43">
        <f>-IF(A18-Premissas!$B$42&lt;=2,Premissas!$B$49,IF(A18-Premissas!$B$42&lt;=5,Premissas!$B$50,IF(A18-Premissas!$B$42&lt;=8,Premissas!$B$51,Premissas!$B$52)))</f>
        <v>-35000.0</v>
      </c>
      <c r="K18" s="43">
        <f>-IF(A18=1+Premissas!$B$42,Premissas!$B$55,IF(A18=3+Premissas!$B$42,Premissas!$B$56,IF(A18=6+Premissas!$B$42,Premissas!$B$57,0)))</f>
        <v>-0.0</v>
      </c>
      <c r="L18" s="44">
        <f>G18+H18+I18+J18+K18</f>
        <v>31139.62627162774</v>
      </c>
      <c r="M18" s="44">
        <f>M17+L18</f>
        <v>-123935.7431413895</v>
      </c>
      <c r="N18" s="45">
        <f>IF(L18&gt;0,A18,9999)</f>
        <v>14.0</v>
      </c>
      <c r="O18" s="45">
        <f>IF(M18&gt;0,A18,9999)</f>
        <v>9999.0</v>
      </c>
    </row>
    <row r="19">
      <c r="A19" s="39" t="n">
        <v>15</v>
      </c>
      <c r="B19" s="40">
        <f>Premissas!$B$39+(Premissas!$B$40-Premissas!$B$39)*A19/36</f>
        <v>501.4166666666667</v>
      </c>
      <c r="C19" s="41">
        <f>IF(A19-Premissas!$B$42&lt;Premissas!$B$41,0,Premissas!$B$10*B19/(1+EXP(-Premissas!$B$12*(A19-Premissas!$B$42-Premissas!$B$11))))</f>
        <v>378.2803395191679</v>
      </c>
      <c r="D19" s="42">
        <f>MAX(0,C19-C18)</f>
        <v>42.79314352907613</v>
      </c>
      <c r="E19" s="43">
        <f>C19*Premissas!$B$9*(1-Premissas!$B$15)</f>
        <v>84829.3661371734</v>
      </c>
      <c r="F19" s="43">
        <f>IF(A19&gt;=Premissas!$B$46+Premissas!$B$42,Premissas!$B$45*(1-Premissas!$B$15),0)</f>
        <v>7500.0</v>
      </c>
      <c r="G19" s="44">
        <f>E19+F19</f>
        <v>92329.3661371734</v>
      </c>
      <c r="H19" s="43">
        <f>-G19*Premissas!$B$60</f>
        <v>-0.0</v>
      </c>
      <c r="I19" s="43">
        <f>-(C19*Premissas!$B$31+D19*Premissas!$B$13)</f>
        <v>-18027.43143625886</v>
      </c>
      <c r="J19" s="43">
        <f>-IF(A19-Premissas!$B$42&lt;=2,Premissas!$B$49,IF(A19-Premissas!$B$42&lt;=5,Premissas!$B$50,IF(A19-Premissas!$B$42&lt;=8,Premissas!$B$51,Premissas!$B$52)))</f>
        <v>-35000.0</v>
      </c>
      <c r="K19" s="43">
        <f>-IF(A19=1+Premissas!$B$42,Premissas!$B$55,IF(A19=3+Premissas!$B$42,Premissas!$B$56,IF(A19=6+Premissas!$B$42,Premissas!$B$57,0)))</f>
        <v>-0.0</v>
      </c>
      <c r="L19" s="44">
        <f>G19+H19+I19+J19+K19</f>
        <v>39301.93470091454</v>
      </c>
      <c r="M19" s="44">
        <f>M18+L19</f>
        <v>-84633.80844047495</v>
      </c>
      <c r="N19" s="45">
        <f>IF(L19&gt;0,A19,9999)</f>
        <v>15.0</v>
      </c>
      <c r="O19" s="45">
        <f>IF(M19&gt;0,A19,9999)</f>
        <v>9999.0</v>
      </c>
    </row>
    <row r="20">
      <c r="A20" s="39" t="n">
        <v>16</v>
      </c>
      <c r="B20" s="40">
        <f>Premissas!$B$39+(Premissas!$B$40-Premissas!$B$39)*A20/36</f>
        <v>506.1111111111111</v>
      </c>
      <c r="C20" s="41">
        <f>IF(A20-Premissas!$B$42&lt;Premissas!$B$41,0,Premissas!$B$10*B20/(1+EXP(-Premissas!$B$12*(A20-Premissas!$B$42-Premissas!$B$11))))</f>
        <v>412.60277548992934</v>
      </c>
      <c r="D20" s="42">
        <f>MAX(0,C20-C19)</f>
        <v>34.32243597076143</v>
      </c>
      <c r="E20" s="43">
        <f>C20*Premissas!$B$9*(1-Premissas!$B$15)</f>
        <v>92526.17240361666</v>
      </c>
      <c r="F20" s="43">
        <f>IF(A20&gt;=Premissas!$B$46+Premissas!$B$42,Premissas!$B$45*(1-Premissas!$B$15),0)</f>
        <v>7500.0</v>
      </c>
      <c r="G20" s="44">
        <f>E20+F20</f>
        <v>100026.17240361666</v>
      </c>
      <c r="H20" s="43">
        <f>-G20*Premissas!$B$60</f>
        <v>-0.0</v>
      </c>
      <c r="I20" s="43">
        <f>-(C20*Premissas!$B$31+D20*Premissas!$B$13)</f>
        <v>-19045.438369115105</v>
      </c>
      <c r="J20" s="43">
        <f>-IF(A20-Premissas!$B$42&lt;=2,Premissas!$B$49,IF(A20-Premissas!$B$42&lt;=5,Premissas!$B$50,IF(A20-Premissas!$B$42&lt;=8,Premissas!$B$51,Premissas!$B$52)))</f>
        <v>-35000.0</v>
      </c>
      <c r="K20" s="43">
        <f>-IF(A20=1+Premissas!$B$42,Premissas!$B$55,IF(A20=3+Premissas!$B$42,Premissas!$B$56,IF(A20=6+Premissas!$B$42,Premissas!$B$57,0)))</f>
        <v>-0.0</v>
      </c>
      <c r="L20" s="44">
        <f>G20+H20+I20+J20+K20</f>
        <v>45980.734034501555</v>
      </c>
      <c r="M20" s="44">
        <f>M19+L20</f>
        <v>-38653.0744059734</v>
      </c>
      <c r="N20" s="45">
        <f>IF(L20&gt;0,A20,9999)</f>
        <v>16.0</v>
      </c>
      <c r="O20" s="45">
        <f>IF(M20&gt;0,A20,9999)</f>
        <v>9999.0</v>
      </c>
    </row>
    <row r="21">
      <c r="A21" s="39" t="n">
        <v>17</v>
      </c>
      <c r="B21" s="40">
        <f>Premissas!$B$39+(Premissas!$B$40-Premissas!$B$39)*A21/36</f>
        <v>510.80555555555554</v>
      </c>
      <c r="C21" s="41">
        <f>IF(A21-Premissas!$B$42&lt;Premissas!$B$41,0,Premissas!$B$10*B21/(1+EXP(-Premissas!$B$12*(A21-Premissas!$B$42-Premissas!$B$11))))</f>
        <v>438.9954932075489</v>
      </c>
      <c r="D21" s="42">
        <f>MAX(0,C21-C20)</f>
        <v>26.392717717619576</v>
      </c>
      <c r="E21" s="43">
        <f>C21*Premissas!$B$9*(1-Premissas!$B$15)</f>
        <v>98444.73935179284</v>
      </c>
      <c r="F21" s="43">
        <f>IF(A21&gt;=Premissas!$B$46+Premissas!$B$42,Premissas!$B$45*(1-Premissas!$B$15),0)</f>
        <v>7500.0</v>
      </c>
      <c r="G21" s="44">
        <f>E21+F21</f>
        <v>105944.73935179284</v>
      </c>
      <c r="H21" s="43">
        <f>-G21*Premissas!$B$60</f>
        <v>-0.0</v>
      </c>
      <c r="I21" s="43">
        <f>-(C21*Premissas!$B$31+D21*Premissas!$B$13)</f>
        <v>-19757.446600598036</v>
      </c>
      <c r="J21" s="43">
        <f>-IF(A21-Premissas!$B$42&lt;=2,Premissas!$B$49,IF(A21-Premissas!$B$42&lt;=5,Premissas!$B$50,IF(A21-Premissas!$B$42&lt;=8,Premissas!$B$51,Premissas!$B$52)))</f>
        <v>-35000.0</v>
      </c>
      <c r="K21" s="43">
        <f>-IF(A21=1+Premissas!$B$42,Premissas!$B$55,IF(A21=3+Premissas!$B$42,Premissas!$B$56,IF(A21=6+Premissas!$B$42,Premissas!$B$57,0)))</f>
        <v>-0.0</v>
      </c>
      <c r="L21" s="44">
        <f>G21+H21+I21+J21+K21</f>
        <v>51187.29275119481</v>
      </c>
      <c r="M21" s="44">
        <f>M20+L21</f>
        <v>12534.218345221409</v>
      </c>
      <c r="N21" s="45">
        <f>IF(L21&gt;0,A21,9999)</f>
        <v>17.0</v>
      </c>
      <c r="O21" s="45">
        <f>IF(M21&gt;0,A21,9999)</f>
        <v>17.0</v>
      </c>
    </row>
    <row r="22">
      <c r="A22" s="39" t="n">
        <v>18</v>
      </c>
      <c r="B22" s="40">
        <f>Premissas!$B$39+(Premissas!$B$40-Premissas!$B$39)*A22/36</f>
        <v>515.5</v>
      </c>
      <c r="C22" s="41">
        <f>IF(A22-Premissas!$B$42&lt;Premissas!$B$41,0,Premissas!$B$10*B22/(1+EXP(-Premissas!$B$12*(A22-Premissas!$B$42-Premissas!$B$11))))</f>
        <v>458.8853732049874</v>
      </c>
      <c r="D22" s="42">
        <f>MAX(0,C22-C21)</f>
        <v>19.88987999743847</v>
      </c>
      <c r="E22" s="43">
        <f>C22*Premissas!$B$9*(1-Premissas!$B$15)</f>
        <v>102905.04494121842</v>
      </c>
      <c r="F22" s="43">
        <f>IF(A22&gt;=Premissas!$B$46+Premissas!$B$42,Premissas!$B$45*(1-Premissas!$B$15),0)</f>
        <v>7500.0</v>
      </c>
      <c r="G22" s="44">
        <f>E22+F22</f>
        <v>110405.04494121842</v>
      </c>
      <c r="H22" s="43">
        <f>-G22*Premissas!$B$60</f>
        <v>-0.0</v>
      </c>
      <c r="I22" s="43">
        <f>-(C22*Premissas!$B$31+D22*Premissas!$B$13)</f>
        <v>-20267.679674481395</v>
      </c>
      <c r="J22" s="43">
        <f>-IF(A22-Premissas!$B$42&lt;=2,Premissas!$B$49,IF(A22-Premissas!$B$42&lt;=5,Premissas!$B$50,IF(A22-Premissas!$B$42&lt;=8,Premissas!$B$51,Premissas!$B$52)))</f>
        <v>-35000.0</v>
      </c>
      <c r="K22" s="43">
        <f>-IF(A22=1+Premissas!$B$42,Premissas!$B$55,IF(A22=3+Premissas!$B$42,Premissas!$B$56,IF(A22=6+Premissas!$B$42,Premissas!$B$57,0)))</f>
        <v>-0.0</v>
      </c>
      <c r="L22" s="44">
        <f>G22+H22+I22+J22+K22</f>
        <v>55137.36526673703</v>
      </c>
      <c r="M22" s="44">
        <f>M21+L22</f>
        <v>67671.58361195844</v>
      </c>
      <c r="N22" s="45">
        <f>IF(L22&gt;0,A22,9999)</f>
        <v>18.0</v>
      </c>
      <c r="O22" s="45">
        <f>IF(M22&gt;0,A22,9999)</f>
        <v>18.0</v>
      </c>
    </row>
    <row r="23">
      <c r="A23" s="39" t="n">
        <v>19</v>
      </c>
      <c r="B23" s="40">
        <f>Premissas!$B$39+(Premissas!$B$40-Premissas!$B$39)*A23/36</f>
        <v>520.1944444444445</v>
      </c>
      <c r="C23" s="41">
        <f>IF(A23-Premissas!$B$42&lt;Premissas!$B$41,0,Premissas!$B$10*B23/(1+EXP(-Premissas!$B$12*(A23-Premissas!$B$42-Premissas!$B$11))))</f>
        <v>473.8780403189694</v>
      </c>
      <c r="D23" s="42">
        <f>MAX(0,C23-C22)</f>
        <v>14.992667113982009</v>
      </c>
      <c r="E23" s="43">
        <f>C23*Premissas!$B$9*(1-Premissas!$B$15)</f>
        <v>106267.15054152888</v>
      </c>
      <c r="F23" s="43">
        <f>IF(A23&gt;=Premissas!$B$46+Premissas!$B$42,Premissas!$B$45*(1-Premissas!$B$15),0)</f>
        <v>7500.0</v>
      </c>
      <c r="G23" s="44">
        <f>E23+F23</f>
        <v>113767.15054152888</v>
      </c>
      <c r="H23" s="43">
        <f>-G23*Premissas!$B$60</f>
        <v>-0.0</v>
      </c>
      <c r="I23" s="43">
        <f>-(C23*Premissas!$B$31+D23*Premissas!$B$13)</f>
        <v>-20652.511049095818</v>
      </c>
      <c r="J23" s="43">
        <f>-IF(A23-Premissas!$B$42&lt;=2,Premissas!$B$49,IF(A23-Premissas!$B$42&lt;=5,Premissas!$B$50,IF(A23-Premissas!$B$42&lt;=8,Premissas!$B$51,Premissas!$B$52)))</f>
        <v>-35000.0</v>
      </c>
      <c r="K23" s="43">
        <f>-IF(A23=1+Premissas!$B$42,Premissas!$B$55,IF(A23=3+Premissas!$B$42,Premissas!$B$56,IF(A23=6+Premissas!$B$42,Premissas!$B$57,0)))</f>
        <v>-0.0</v>
      </c>
      <c r="L23" s="44">
        <f>G23+H23+I23+J23+K23</f>
        <v>58114.63949243307</v>
      </c>
      <c r="M23" s="44">
        <f>M22+L23</f>
        <v>125786.22310439151</v>
      </c>
      <c r="N23" s="45">
        <f>IF(L23&gt;0,A23,9999)</f>
        <v>19.0</v>
      </c>
      <c r="O23" s="45">
        <f>IF(M23&gt;0,A23,9999)</f>
        <v>19.0</v>
      </c>
    </row>
    <row r="24">
      <c r="A24" s="39" t="n">
        <v>20</v>
      </c>
      <c r="B24" s="40">
        <f>Premissas!$B$39+(Premissas!$B$40-Premissas!$B$39)*A24/36</f>
        <v>524.8888888888889</v>
      </c>
      <c r="C24" s="41">
        <f>IF(A24-Premissas!$B$42&lt;Premissas!$B$41,0,Premissas!$B$10*B24/(1+EXP(-Premissas!$B$12*(A24-Premissas!$B$42-Premissas!$B$11))))</f>
        <v>485.38200135841566</v>
      </c>
      <c r="D24" s="42">
        <f>MAX(0,C24-C23)</f>
        <v>11.503961039446267</v>
      </c>
      <c r="E24" s="43">
        <f>C24*Premissas!$B$9*(1-Premissas!$B$15)</f>
        <v>108846.9138046247</v>
      </c>
      <c r="F24" s="43">
        <f>IF(A24&gt;=Premissas!$B$46+Premissas!$B$42,Premissas!$B$45*(1-Premissas!$B$15),0)</f>
        <v>7500.0</v>
      </c>
      <c r="G24" s="44">
        <f>E24+F24</f>
        <v>116346.9138046247</v>
      </c>
      <c r="H24" s="43">
        <f>-G24*Premissas!$B$60</f>
        <v>-0.0</v>
      </c>
      <c r="I24" s="43">
        <f>-(C24*Premissas!$B$31+D24*Premissas!$B$13)</f>
        <v>-20961.242109025774</v>
      </c>
      <c r="J24" s="43">
        <f>-IF(A24-Premissas!$B$42&lt;=2,Premissas!$B$49,IF(A24-Premissas!$B$42&lt;=5,Premissas!$B$50,IF(A24-Premissas!$B$42&lt;=8,Premissas!$B$51,Premissas!$B$52)))</f>
        <v>-35000.0</v>
      </c>
      <c r="K24" s="43">
        <f>-IF(A24=1+Premissas!$B$42,Premissas!$B$55,IF(A24=3+Premissas!$B$42,Premissas!$B$56,IF(A24=6+Premissas!$B$42,Premissas!$B$57,0)))</f>
        <v>-0.0</v>
      </c>
      <c r="L24" s="44">
        <f>G24+H24+I24+J24+K24</f>
        <v>60385.671695598925</v>
      </c>
      <c r="M24" s="44">
        <f>M23+L24</f>
        <v>186171.89479999043</v>
      </c>
      <c r="N24" s="45">
        <f>IF(L24&gt;0,A24,9999)</f>
        <v>20.0</v>
      </c>
      <c r="O24" s="45">
        <f>IF(M24&gt;0,A24,9999)</f>
        <v>20.0</v>
      </c>
    </row>
    <row r="25">
      <c r="A25" s="39" t="n">
        <v>21</v>
      </c>
      <c r="B25" s="40">
        <f>Premissas!$B$39+(Premissas!$B$40-Premissas!$B$39)*A25/36</f>
        <v>529.5833333333334</v>
      </c>
      <c r="C25" s="41">
        <f>IF(A25-Premissas!$B$42&lt;Premissas!$B$41,0,Premissas!$B$10*B25/(1+EXP(-Premissas!$B$12*(A25-Premissas!$B$42-Premissas!$B$11))))</f>
        <v>494.4889941553853</v>
      </c>
      <c r="D25" s="42">
        <f>MAX(0,C25-C24)</f>
        <v>9.106992796969621</v>
      </c>
      <c r="E25" s="43">
        <f>C25*Premissas!$B$9*(1-Premissas!$B$15)</f>
        <v>110889.15693934515</v>
      </c>
      <c r="F25" s="43">
        <f>IF(A25&gt;=Premissas!$B$46+Premissas!$B$42,Premissas!$B$45*(1-Premissas!$B$15),0)</f>
        <v>7500.0</v>
      </c>
      <c r="G25" s="44">
        <f>E25+F25</f>
        <v>118389.15693934515</v>
      </c>
      <c r="H25" s="43">
        <f>-G25*Premissas!$B$60</f>
        <v>-0.0</v>
      </c>
      <c r="I25" s="43">
        <f>-(C25*Premissas!$B$31+D25*Premissas!$B$13)</f>
        <v>-21223.887394374666</v>
      </c>
      <c r="J25" s="43">
        <f>-IF(A25-Premissas!$B$42&lt;=2,Premissas!$B$49,IF(A25-Premissas!$B$42&lt;=5,Premissas!$B$50,IF(A25-Premissas!$B$42&lt;=8,Premissas!$B$51,Premissas!$B$52)))</f>
        <v>-35000.0</v>
      </c>
      <c r="K25" s="43">
        <f>-IF(A25=1+Premissas!$B$42,Premissas!$B$55,IF(A25=3+Premissas!$B$42,Premissas!$B$56,IF(A25=6+Premissas!$B$42,Premissas!$B$57,0)))</f>
        <v>-0.0</v>
      </c>
      <c r="L25" s="44">
        <f>G25+H25+I25+J25+K25</f>
        <v>62165.26954497048</v>
      </c>
      <c r="M25" s="44">
        <f>M24+L25</f>
        <v>248337.1643449609</v>
      </c>
      <c r="N25" s="45">
        <f>IF(L25&gt;0,A25,9999)</f>
        <v>21.0</v>
      </c>
      <c r="O25" s="45">
        <f>IF(M25&gt;0,A25,9999)</f>
        <v>21.0</v>
      </c>
    </row>
    <row r="26">
      <c r="A26" s="39" t="n">
        <v>22</v>
      </c>
      <c r="B26" s="40">
        <f>Premissas!$B$39+(Premissas!$B$40-Premissas!$B$39)*A26/36</f>
        <v>534.2777777777778</v>
      </c>
      <c r="C26" s="41">
        <f>IF(A26-Premissas!$B$42&lt;Premissas!$B$41,0,Premissas!$B$10*B26/(1+EXP(-Premissas!$B$12*(A26-Premissas!$B$42-Premissas!$B$11))))</f>
        <v>501.98731356030595</v>
      </c>
      <c r="D26" s="42">
        <f>MAX(0,C26-C25)</f>
        <v>7.4983194049206645</v>
      </c>
      <c r="E26" s="43">
        <f>C26*Premissas!$B$9*(1-Premissas!$B$15)</f>
        <v>112570.65506589861</v>
      </c>
      <c r="F26" s="43">
        <f>IF(A26&gt;=Premissas!$B$46+Premissas!$B$42,Premissas!$B$45*(1-Premissas!$B$15),0)</f>
        <v>7500.0</v>
      </c>
      <c r="G26" s="44">
        <f>E26+F26</f>
        <v>120070.65506589861</v>
      </c>
      <c r="H26" s="43">
        <f>-G26*Premissas!$B$60</f>
        <v>-0.0</v>
      </c>
      <c r="I26" s="43">
        <f>-(C26*Premissas!$B$31+D26*Premissas!$B$13)</f>
        <v>-21458.383139778885</v>
      </c>
      <c r="J26" s="43">
        <f>-IF(A26-Premissas!$B$42&lt;=2,Premissas!$B$49,IF(A26-Premissas!$B$42&lt;=5,Premissas!$B$50,IF(A26-Premissas!$B$42&lt;=8,Premissas!$B$51,Premissas!$B$52)))</f>
        <v>-35000.0</v>
      </c>
      <c r="K26" s="43">
        <f>-IF(A26=1+Premissas!$B$42,Premissas!$B$55,IF(A26=3+Premissas!$B$42,Premissas!$B$56,IF(A26=6+Premissas!$B$42,Premissas!$B$57,0)))</f>
        <v>-0.0</v>
      </c>
      <c r="L26" s="44">
        <f>G26+H26+I26+J26+K26</f>
        <v>63612.27192611972</v>
      </c>
      <c r="M26" s="44">
        <f>M25+L26</f>
        <v>311949.43627108063</v>
      </c>
      <c r="N26" s="45">
        <f>IF(L26&gt;0,A26,9999)</f>
        <v>22.0</v>
      </c>
      <c r="O26" s="45">
        <f>IF(M26&gt;0,A26,9999)</f>
        <v>22.0</v>
      </c>
    </row>
    <row r="27">
      <c r="A27" s="39" t="n">
        <v>23</v>
      </c>
      <c r="B27" s="40">
        <f>Premissas!$B$39+(Premissas!$B$40-Premissas!$B$39)*A27/36</f>
        <v>538.9722222222222</v>
      </c>
      <c r="C27" s="41">
        <f>IF(A27-Premissas!$B$42&lt;Premissas!$B$41,0,Premissas!$B$10*B27/(1+EXP(-Premissas!$B$12*(A27-Premissas!$B$42-Premissas!$B$11))))</f>
        <v>508.42224841694565</v>
      </c>
      <c r="D27" s="42">
        <f>MAX(0,C27-C26)</f>
        <v>6.4349348566397</v>
      </c>
      <c r="E27" s="43">
        <f>C27*Premissas!$B$9*(1-Premissas!$B$15)</f>
        <v>114013.68920750007</v>
      </c>
      <c r="F27" s="43">
        <f>IF(A27&gt;=Premissas!$B$46+Premissas!$B$42,Premissas!$B$45*(1-Premissas!$B$15),0)</f>
        <v>7500.0</v>
      </c>
      <c r="G27" s="44">
        <f>E27+F27</f>
        <v>121513.68920750007</v>
      </c>
      <c r="H27" s="43">
        <f>-G27*Premissas!$B$60</f>
        <v>-0.0</v>
      </c>
      <c r="I27" s="43">
        <f>-(C27*Premissas!$B$31+D27*Premissas!$B$13)</f>
        <v>-21675.4811763437</v>
      </c>
      <c r="J27" s="43">
        <f>-IF(A27-Premissas!$B$42&lt;=2,Premissas!$B$49,IF(A27-Premissas!$B$42&lt;=5,Premissas!$B$50,IF(A27-Premissas!$B$42&lt;=8,Premissas!$B$51,Premissas!$B$52)))</f>
        <v>-35000.0</v>
      </c>
      <c r="K27" s="43">
        <f>-IF(A27=1+Premissas!$B$42,Premissas!$B$55,IF(A27=3+Premissas!$B$42,Premissas!$B$56,IF(A27=6+Premissas!$B$42,Premissas!$B$57,0)))</f>
        <v>-0.0</v>
      </c>
      <c r="L27" s="44">
        <f>G27+H27+I27+J27+K27</f>
        <v>64838.20803115636</v>
      </c>
      <c r="M27" s="44">
        <f>M26+L27</f>
        <v>376787.64430223696</v>
      </c>
      <c r="N27" s="45">
        <f>IF(L27&gt;0,A27,9999)</f>
        <v>23.0</v>
      </c>
      <c r="O27" s="45">
        <f>IF(M27&gt;0,A27,9999)</f>
        <v>23.0</v>
      </c>
    </row>
    <row r="28">
      <c r="A28" s="46" t="n">
        <v>24</v>
      </c>
      <c r="B28" s="47">
        <f>Premissas!$B$39+(Premissas!$B$40-Premissas!$B$39)*A28/36</f>
        <v>543.6666666666666</v>
      </c>
      <c r="C28" s="48">
        <f>IF(A28-Premissas!$B$42&lt;Premissas!$B$41,0,Premissas!$B$10*B28/(1+EXP(-Premissas!$B$12*(A28-Premissas!$B$42-Premissas!$B$11))))</f>
        <v>514.1610831835932</v>
      </c>
      <c r="D28" s="49">
        <f>MAX(0,C28-C27)</f>
        <v>5.738834766647528</v>
      </c>
      <c r="E28" s="50">
        <f>C28*Premissas!$B$9*(1-Premissas!$B$15)</f>
        <v>115300.62290392077</v>
      </c>
      <c r="F28" s="50">
        <f>IF(A28&gt;=Premissas!$B$46+Premissas!$B$42,Premissas!$B$45*(1-Premissas!$B$15),0)</f>
        <v>7500.0</v>
      </c>
      <c r="G28" s="51">
        <f>E28+F28</f>
        <v>122800.62290392077</v>
      </c>
      <c r="H28" s="50">
        <f>-G28*Premissas!$B$60</f>
        <v>-0.0</v>
      </c>
      <c r="I28" s="50">
        <f>-(C28*Premissas!$B$31+D28*Premissas!$B$13)</f>
        <v>-21881.707232043293</v>
      </c>
      <c r="J28" s="50">
        <f>-IF(A28-Premissas!$B$42&lt;=2,Premissas!$B$49,IF(A28-Premissas!$B$42&lt;=5,Premissas!$B$50,IF(A28-Premissas!$B$42&lt;=8,Premissas!$B$51,Premissas!$B$52)))</f>
        <v>-35000.0</v>
      </c>
      <c r="K28" s="50">
        <f>-IF(A28=1+Premissas!$B$42,Premissas!$B$55,IF(A28=3+Premissas!$B$42,Premissas!$B$56,IF(A28=6+Premissas!$B$42,Premissas!$B$57,0)))</f>
        <v>-0.0</v>
      </c>
      <c r="L28" s="51">
        <f>G28+H28+I28+J28+K28</f>
        <v>65918.91567187748</v>
      </c>
      <c r="M28" s="51">
        <f>M27+L28</f>
        <v>442706.5599741144</v>
      </c>
      <c r="N28" s="52">
        <f>IF(L28&gt;0,A28,9999)</f>
        <v>24.0</v>
      </c>
      <c r="O28" s="52">
        <f>IF(M28&gt;0,A28,9999)</f>
        <v>24.0</v>
      </c>
    </row>
    <row r="29">
      <c r="A29" s="39" t="n">
        <v>25</v>
      </c>
      <c r="B29" s="40">
        <f>Premissas!$B$39+(Premissas!$B$40-Premissas!$B$39)*A29/36</f>
        <v>548.3611111111111</v>
      </c>
      <c r="C29" s="41">
        <f>IF(A29-Premissas!$B$42&lt;Premissas!$B$41,0,Premissas!$B$10*B29/(1+EXP(-Premissas!$B$12*(A29-Premissas!$B$42-Premissas!$B$11))))</f>
        <v>519.4471002887625</v>
      </c>
      <c r="D29" s="42">
        <f>MAX(0,C29-C28)</f>
        <v>5.286017105169321</v>
      </c>
      <c r="E29" s="43">
        <f>C29*Premissas!$B$9*(1-Premissas!$B$15)</f>
        <v>116486.01223975499</v>
      </c>
      <c r="F29" s="43">
        <f>IF(A29&gt;=Premissas!$B$46+Premissas!$B$42,Premissas!$B$45*(1-Premissas!$B$15),0)</f>
        <v>7500.0</v>
      </c>
      <c r="G29" s="44">
        <f>E29+F29</f>
        <v>123986.01223975499</v>
      </c>
      <c r="H29" s="43">
        <f>-G29*Premissas!$B$60</f>
        <v>-0.0</v>
      </c>
      <c r="I29" s="43">
        <f>-(C29*Premissas!$B$31+D29*Premissas!$B$13)</f>
        <v>-22081.07906738649</v>
      </c>
      <c r="J29" s="43">
        <f>-IF(A29-Premissas!$B$42&lt;=2,Premissas!$B$49,IF(A29-Premissas!$B$42&lt;=5,Premissas!$B$50,IF(A29-Premissas!$B$42&lt;=8,Premissas!$B$51,Premissas!$B$52)))</f>
        <v>-35000.0</v>
      </c>
      <c r="K29" s="43">
        <f>-IF(A29=1+Premissas!$B$42,Premissas!$B$55,IF(A29=3+Premissas!$B$42,Premissas!$B$56,IF(A29=6+Premissas!$B$42,Premissas!$B$57,0)))</f>
        <v>-0.0</v>
      </c>
      <c r="L29" s="44">
        <f>G29+H29+I29+J29+K29</f>
        <v>66904.9331723685</v>
      </c>
      <c r="M29" s="44">
        <f>M28+L29</f>
        <v>509611.4931464829</v>
      </c>
      <c r="N29" s="45">
        <f>IF(L29&gt;0,A29,9999)</f>
        <v>25.0</v>
      </c>
      <c r="O29" s="45">
        <f>IF(M29&gt;0,A29,9999)</f>
        <v>25.0</v>
      </c>
    </row>
    <row r="30">
      <c r="A30" s="39" t="n">
        <v>26</v>
      </c>
      <c r="B30" s="40">
        <f>Premissas!$B$39+(Premissas!$B$40-Premissas!$B$39)*A30/36</f>
        <v>553.0555555555555</v>
      </c>
      <c r="C30" s="41">
        <f>IF(A30-Premissas!$B$42&lt;Premissas!$B$41,0,Premissas!$B$10*B30/(1+EXP(-Premissas!$B$12*(A30-Premissas!$B$42-Premissas!$B$11))))</f>
        <v>524.4397465658949</v>
      </c>
      <c r="D30" s="42">
        <f>MAX(0,C30-C29)</f>
        <v>4.992646277132394</v>
      </c>
      <c r="E30" s="43">
        <f>C30*Premissas!$B$9*(1-Premissas!$B$15)</f>
        <v>117605.61316740193</v>
      </c>
      <c r="F30" s="43">
        <f>IF(A30&gt;=Premissas!$B$46+Premissas!$B$42,Premissas!$B$45*(1-Premissas!$B$15),0)</f>
        <v>7500.0</v>
      </c>
      <c r="G30" s="44">
        <f>E30+F30</f>
        <v>125105.61316740193</v>
      </c>
      <c r="H30" s="43">
        <f>-G30*Premissas!$B$60</f>
        <v>-0.0</v>
      </c>
      <c r="I30" s="43">
        <f>-(C30*Premissas!$B$31+D30*Premissas!$B$13)</f>
        <v>-22276.101669624204</v>
      </c>
      <c r="J30" s="43">
        <f>-IF(A30-Premissas!$B$42&lt;=2,Premissas!$B$49,IF(A30-Premissas!$B$42&lt;=5,Premissas!$B$50,IF(A30-Premissas!$B$42&lt;=8,Premissas!$B$51,Premissas!$B$52)))</f>
        <v>-35000.0</v>
      </c>
      <c r="K30" s="43">
        <f>-IF(A30=1+Premissas!$B$42,Premissas!$B$55,IF(A30=3+Premissas!$B$42,Premissas!$B$56,IF(A30=6+Premissas!$B$42,Premissas!$B$57,0)))</f>
        <v>-0.0</v>
      </c>
      <c r="L30" s="44">
        <f>G30+H30+I30+J30+K30</f>
        <v>67829.51149777773</v>
      </c>
      <c r="M30" s="44">
        <f>M29+L30</f>
        <v>577441.0046442606</v>
      </c>
      <c r="N30" s="45">
        <f>IF(L30&gt;0,A30,9999)</f>
        <v>26.0</v>
      </c>
      <c r="O30" s="45">
        <f>IF(M30&gt;0,A30,9999)</f>
        <v>26.0</v>
      </c>
    </row>
    <row r="31">
      <c r="A31" s="39" t="n">
        <v>27</v>
      </c>
      <c r="B31" s="40">
        <f>Premissas!$B$39+(Premissas!$B$40-Premissas!$B$39)*A31/36</f>
        <v>557.75</v>
      </c>
      <c r="C31" s="41">
        <f>IF(A31-Premissas!$B$42&lt;Premissas!$B$41,0,Premissas!$B$10*B31/(1+EXP(-Premissas!$B$12*(A31-Premissas!$B$42-Premissas!$B$11))))</f>
        <v>529.2428203671819</v>
      </c>
      <c r="D31" s="42">
        <f>MAX(0,C31-C30)</f>
        <v>4.8030738012870415</v>
      </c>
      <c r="E31" s="43">
        <f>C31*Premissas!$B$9*(1-Premissas!$B$15)</f>
        <v>118682.70246734054</v>
      </c>
      <c r="F31" s="43">
        <f>IF(A31&gt;=Premissas!$B$46+Premissas!$B$42,Premissas!$B$45*(1-Premissas!$B$15),0)</f>
        <v>7500.0</v>
      </c>
      <c r="G31" s="44">
        <f>E31+F31</f>
        <v>126182.70246734054</v>
      </c>
      <c r="H31" s="43">
        <f>-G31*Premissas!$B$60</f>
        <v>-0.0</v>
      </c>
      <c r="I31" s="43">
        <f>-(C31*Premissas!$B$31+D31*Premissas!$B$13)</f>
        <v>-22468.35214548599</v>
      </c>
      <c r="J31" s="43">
        <f>-IF(A31-Premissas!$B$42&lt;=2,Premissas!$B$49,IF(A31-Premissas!$B$42&lt;=5,Premissas!$B$50,IF(A31-Premissas!$B$42&lt;=8,Premissas!$B$51,Premissas!$B$52)))</f>
        <v>-35000.0</v>
      </c>
      <c r="K31" s="43">
        <f>-IF(A31=1+Premissas!$B$42,Premissas!$B$55,IF(A31=3+Premissas!$B$42,Premissas!$B$56,IF(A31=6+Premissas!$B$42,Premissas!$B$57,0)))</f>
        <v>-0.0</v>
      </c>
      <c r="L31" s="44">
        <f>G31+H31+I31+J31+K31</f>
        <v>68714.35032185455</v>
      </c>
      <c r="M31" s="44">
        <f>M30+L31</f>
        <v>646155.3549661152</v>
      </c>
      <c r="N31" s="45">
        <f>IF(L31&gt;0,A31,9999)</f>
        <v>27.0</v>
      </c>
      <c r="O31" s="45">
        <f>IF(M31&gt;0,A31,9999)</f>
        <v>27.0</v>
      </c>
    </row>
    <row r="32">
      <c r="A32" s="39" t="n">
        <v>28</v>
      </c>
      <c r="B32" s="40">
        <f>Premissas!$B$39+(Premissas!$B$40-Premissas!$B$39)*A32/36</f>
        <v>562.4444444444445</v>
      </c>
      <c r="C32" s="41">
        <f>IF(A32-Premissas!$B$42&lt;Premissas!$B$41,0,Premissas!$B$10*B32/(1+EXP(-Premissas!$B$12*(A32-Premissas!$B$42-Premissas!$B$11))))</f>
        <v>533.9236024378847</v>
      </c>
      <c r="D32" s="42">
        <f>MAX(0,C32-C31)</f>
        <v>4.680782070702776</v>
      </c>
      <c r="E32" s="43">
        <f>C32*Premissas!$B$9*(1-Premissas!$B$15)</f>
        <v>119732.36784669565</v>
      </c>
      <c r="F32" s="43">
        <f>IF(A32&gt;=Premissas!$B$46+Premissas!$B$42,Premissas!$B$45*(1-Premissas!$B$15),0)</f>
        <v>7500.0</v>
      </c>
      <c r="G32" s="44">
        <f>E32+F32</f>
        <v>127232.36784669565</v>
      </c>
      <c r="H32" s="43">
        <f>-G32*Premissas!$B$60</f>
        <v>-0.0</v>
      </c>
      <c r="I32" s="43">
        <f>-(C32*Premissas!$B$31+D32*Premissas!$B$13)</f>
        <v>-22658.830405926295</v>
      </c>
      <c r="J32" s="43">
        <f>-IF(A32-Premissas!$B$42&lt;=2,Premissas!$B$49,IF(A32-Premissas!$B$42&lt;=5,Premissas!$B$50,IF(A32-Premissas!$B$42&lt;=8,Premissas!$B$51,Premissas!$B$52)))</f>
        <v>-35000.0</v>
      </c>
      <c r="K32" s="43">
        <f>-IF(A32=1+Premissas!$B$42,Premissas!$B$55,IF(A32=3+Premissas!$B$42,Premissas!$B$56,IF(A32=6+Premissas!$B$42,Premissas!$B$57,0)))</f>
        <v>-0.0</v>
      </c>
      <c r="L32" s="44">
        <f>G32+H32+I32+J32+K32</f>
        <v>69573.53744076935</v>
      </c>
      <c r="M32" s="44">
        <f>M31+L32</f>
        <v>715728.8924068846</v>
      </c>
      <c r="N32" s="45">
        <f>IF(L32&gt;0,A32,9999)</f>
        <v>28.0</v>
      </c>
      <c r="O32" s="45">
        <f>IF(M32&gt;0,A32,9999)</f>
        <v>28.0</v>
      </c>
    </row>
    <row r="33">
      <c r="A33" s="39" t="n">
        <v>29</v>
      </c>
      <c r="B33" s="40">
        <f>Premissas!$B$39+(Premissas!$B$40-Premissas!$B$39)*A33/36</f>
        <v>567.1388888888889</v>
      </c>
      <c r="C33" s="41">
        <f>IF(A33-Premissas!$B$42&lt;Premissas!$B$41,0,Premissas!$B$10*B33/(1+EXP(-Premissas!$B$12*(A33-Premissas!$B$42-Premissas!$B$11))))</f>
        <v>538.5255825025657</v>
      </c>
      <c r="D33" s="42">
        <f>MAX(0,C33-C32)</f>
        <v>4.601980064681015</v>
      </c>
      <c r="E33" s="43">
        <f>C33*Premissas!$B$9*(1-Premissas!$B$15)</f>
        <v>120764.36187620036</v>
      </c>
      <c r="F33" s="43">
        <f>IF(A33&gt;=Premissas!$B$46+Premissas!$B$42,Premissas!$B$45*(1-Premissas!$B$15),0)</f>
        <v>7500.0</v>
      </c>
      <c r="G33" s="44">
        <f>E33+F33</f>
        <v>128264.36187620036</v>
      </c>
      <c r="H33" s="43">
        <f>-G33*Premissas!$B$60</f>
        <v>-0.0</v>
      </c>
      <c r="I33" s="43">
        <f>-(C33*Premissas!$B$31+D33*Premissas!$B$13)</f>
        <v>-22848.173468341814</v>
      </c>
      <c r="J33" s="43">
        <f>-IF(A33-Premissas!$B$42&lt;=2,Premissas!$B$49,IF(A33-Premissas!$B$42&lt;=5,Premissas!$B$50,IF(A33-Premissas!$B$42&lt;=8,Premissas!$B$51,Premissas!$B$52)))</f>
        <v>-35000.0</v>
      </c>
      <c r="K33" s="43">
        <f>-IF(A33=1+Premissas!$B$42,Premissas!$B$55,IF(A33=3+Premissas!$B$42,Premissas!$B$56,IF(A33=6+Premissas!$B$42,Premissas!$B$57,0)))</f>
        <v>-0.0</v>
      </c>
      <c r="L33" s="44">
        <f>G33+H33+I33+J33+K33</f>
        <v>70416.18840785854</v>
      </c>
      <c r="M33" s="44">
        <f>M32+L33</f>
        <v>786145.0808147432</v>
      </c>
      <c r="N33" s="45">
        <f>IF(L33&gt;0,A33,9999)</f>
        <v>29.0</v>
      </c>
      <c r="O33" s="45">
        <f>IF(M33&gt;0,A33,9999)</f>
        <v>29.0</v>
      </c>
    </row>
    <row r="34">
      <c r="A34" s="39" t="n">
        <v>30</v>
      </c>
      <c r="B34" s="40">
        <f>Premissas!$B$39+(Premissas!$B$40-Premissas!$B$39)*A34/36</f>
        <v>571.8333333333334</v>
      </c>
      <c r="C34" s="41">
        <f>IF(A34-Premissas!$B$42&lt;Premissas!$B$41,0,Premissas!$B$10*B34/(1+EXP(-Premissas!$B$12*(A34-Premissas!$B$42-Premissas!$B$11))))</f>
        <v>543.0768215963287</v>
      </c>
      <c r="D34" s="42">
        <f>MAX(0,C34-C33)</f>
        <v>4.551239093763002</v>
      </c>
      <c r="E34" s="43">
        <f>C34*Premissas!$B$9*(1-Premissas!$B$15)</f>
        <v>121784.97724297672</v>
      </c>
      <c r="F34" s="43">
        <f>IF(A34&gt;=Premissas!$B$46+Premissas!$B$42,Premissas!$B$45*(1-Premissas!$B$15),0)</f>
        <v>7500.0</v>
      </c>
      <c r="G34" s="44">
        <f>E34+F34</f>
        <v>129284.97724297672</v>
      </c>
      <c r="H34" s="43">
        <f>-G34*Premissas!$B$60</f>
        <v>-0.0</v>
      </c>
      <c r="I34" s="43">
        <f>-(C34*Premissas!$B$31+D34*Premissas!$B$13)</f>
        <v>-23036.788461733955</v>
      </c>
      <c r="J34" s="43">
        <f>-IF(A34-Premissas!$B$42&lt;=2,Premissas!$B$49,IF(A34-Premissas!$B$42&lt;=5,Premissas!$B$50,IF(A34-Premissas!$B$42&lt;=8,Premissas!$B$51,Premissas!$B$52)))</f>
        <v>-35000.0</v>
      </c>
      <c r="K34" s="43">
        <f>-IF(A34=1+Premissas!$B$42,Premissas!$B$55,IF(A34=3+Premissas!$B$42,Premissas!$B$56,IF(A34=6+Premissas!$B$42,Premissas!$B$57,0)))</f>
        <v>-0.0</v>
      </c>
      <c r="L34" s="44">
        <f>G34+H34+I34+J34+K34</f>
        <v>71248.18878124276</v>
      </c>
      <c r="M34" s="44">
        <f>M33+L34</f>
        <v>857393.269595986</v>
      </c>
      <c r="N34" s="45">
        <f>IF(L34&gt;0,A34,9999)</f>
        <v>30.0</v>
      </c>
      <c r="O34" s="45">
        <f>IF(M34&gt;0,A34,9999)</f>
        <v>30.0</v>
      </c>
    </row>
    <row r="35">
      <c r="A35" s="39" t="n">
        <v>31</v>
      </c>
      <c r="B35" s="40">
        <f>Premissas!$B$39+(Premissas!$B$40-Premissas!$B$39)*A35/36</f>
        <v>576.5277777777778</v>
      </c>
      <c r="C35" s="41">
        <f>IF(A35-Premissas!$B$42&lt;Premissas!$B$41,0,Premissas!$B$10*B35/(1+EXP(-Premissas!$B$12*(A35-Premissas!$B$42-Premissas!$B$11))))</f>
        <v>547.595404481811</v>
      </c>
      <c r="D35" s="42">
        <f>MAX(0,C35-C34)</f>
        <v>4.51858288548226</v>
      </c>
      <c r="E35" s="43">
        <f>C35*Premissas!$B$9*(1-Premissas!$B$15)</f>
        <v>122798.26945504612</v>
      </c>
      <c r="F35" s="43">
        <f>IF(A35&gt;=Premissas!$B$46+Premissas!$B$42,Premissas!$B$45*(1-Premissas!$B$15),0)</f>
        <v>7500.0</v>
      </c>
      <c r="G35" s="44">
        <f>E35+F35</f>
        <v>130298.26945504612</v>
      </c>
      <c r="H35" s="43">
        <f>-G35*Premissas!$B$60</f>
        <v>-0.0</v>
      </c>
      <c r="I35" s="43">
        <f>-(C35*Premissas!$B$31+D35*Premissas!$B$13)</f>
        <v>-23224.936132510175</v>
      </c>
      <c r="J35" s="43">
        <f>-IF(A35-Premissas!$B$42&lt;=2,Premissas!$B$49,IF(A35-Premissas!$B$42&lt;=5,Premissas!$B$50,IF(A35-Premissas!$B$42&lt;=8,Premissas!$B$51,Premissas!$B$52)))</f>
        <v>-35000.0</v>
      </c>
      <c r="K35" s="43">
        <f>-IF(A35=1+Premissas!$B$42,Premissas!$B$55,IF(A35=3+Premissas!$B$42,Premissas!$B$56,IF(A35=6+Premissas!$B$42,Premissas!$B$57,0)))</f>
        <v>-0.0</v>
      </c>
      <c r="L35" s="44">
        <f>G35+H35+I35+J35+K35</f>
        <v>72073.33332253594</v>
      </c>
      <c r="M35" s="44">
        <f>M34+L35</f>
        <v>929466.602918522</v>
      </c>
      <c r="N35" s="45">
        <f>IF(L35&gt;0,A35,9999)</f>
        <v>31.0</v>
      </c>
      <c r="O35" s="45">
        <f>IF(M35&gt;0,A35,9999)</f>
        <v>31.0</v>
      </c>
    </row>
    <row r="36">
      <c r="A36" s="39" t="n">
        <v>32</v>
      </c>
      <c r="B36" s="40">
        <f>Premissas!$B$39+(Premissas!$B$40-Premissas!$B$39)*A36/36</f>
        <v>581.2222222222222</v>
      </c>
      <c r="C36" s="41">
        <f>IF(A36-Premissas!$B$42&lt;Premissas!$B$41,0,Premissas!$B$10*B36/(1+EXP(-Premissas!$B$12*(A36-Premissas!$B$42-Premissas!$B$11))))</f>
        <v>552.0929774249294</v>
      </c>
      <c r="D36" s="42">
        <f>MAX(0,C36-C35)</f>
        <v>4.497572943118371</v>
      </c>
      <c r="E36" s="43">
        <f>C36*Premissas!$B$9*(1-Premissas!$B$15)</f>
        <v>123806.8501875404</v>
      </c>
      <c r="F36" s="43">
        <f>IF(A36&gt;=Premissas!$B$46+Premissas!$B$42,Premissas!$B$45*(1-Premissas!$B$15),0)</f>
        <v>7500.0</v>
      </c>
      <c r="G36" s="44">
        <f>E36+F36</f>
        <v>131306.8501875404</v>
      </c>
      <c r="H36" s="43">
        <f>-G36*Premissas!$B$60</f>
        <v>-0.0</v>
      </c>
      <c r="I36" s="43">
        <f>-(C36*Premissas!$B$31+D36*Premissas!$B$13)</f>
        <v>-23412.78369900295</v>
      </c>
      <c r="J36" s="43">
        <f>-IF(A36-Premissas!$B$42&lt;=2,Premissas!$B$49,IF(A36-Premissas!$B$42&lt;=5,Premissas!$B$50,IF(A36-Premissas!$B$42&lt;=8,Premissas!$B$51,Premissas!$B$52)))</f>
        <v>-35000.0</v>
      </c>
      <c r="K36" s="43">
        <f>-IF(A36=1+Premissas!$B$42,Premissas!$B$55,IF(A36=3+Premissas!$B$42,Premissas!$B$56,IF(A36=6+Premissas!$B$42,Premissas!$B$57,0)))</f>
        <v>-0.0</v>
      </c>
      <c r="L36" s="44">
        <f>G36+H36+I36+J36+K36</f>
        <v>72894.06648853746</v>
      </c>
      <c r="M36" s="44">
        <f>M35+L36</f>
        <v>1002360.6694070594</v>
      </c>
      <c r="N36" s="45">
        <f>IF(L36&gt;0,A36,9999)</f>
        <v>32.0</v>
      </c>
      <c r="O36" s="45">
        <f>IF(M36&gt;0,A36,9999)</f>
        <v>32.0</v>
      </c>
    </row>
    <row r="37">
      <c r="A37" s="39" t="n">
        <v>33</v>
      </c>
      <c r="B37" s="40">
        <f>Premissas!$B$39+(Premissas!$B$40-Premissas!$B$39)*A37/36</f>
        <v>585.9166666666666</v>
      </c>
      <c r="C37" s="41">
        <f>IF(A37-Premissas!$B$42&lt;Premissas!$B$41,0,Premissas!$B$10*B37/(1+EXP(-Premissas!$B$12*(A37-Premissas!$B$42-Premissas!$B$11))))</f>
        <v>556.5770365282887</v>
      </c>
      <c r="D37" s="42">
        <f>MAX(0,C37-C36)</f>
        <v>4.4840591033593</v>
      </c>
      <c r="E37" s="43">
        <f>C37*Premissas!$B$9*(1-Premissas!$B$15)</f>
        <v>124812.40044146872</v>
      </c>
      <c r="F37" s="43">
        <f>IF(A37&gt;=Premissas!$B$46+Premissas!$B$42,Premissas!$B$45*(1-Premissas!$B$15),0)</f>
        <v>7500.0</v>
      </c>
      <c r="G37" s="44">
        <f>E37+F37</f>
        <v>132312.40044146872</v>
      </c>
      <c r="H37" s="43">
        <f>-G37*Premissas!$B$60</f>
        <v>-0.0</v>
      </c>
      <c r="I37" s="43">
        <f>-(C37*Premissas!$B$31+D37*Premissas!$B$13)</f>
        <v>-23600.43848935609</v>
      </c>
      <c r="J37" s="43">
        <f>-IF(A37-Premissas!$B$42&lt;=2,Premissas!$B$49,IF(A37-Premissas!$B$42&lt;=5,Premissas!$B$50,IF(A37-Premissas!$B$42&lt;=8,Premissas!$B$51,Premissas!$B$52)))</f>
        <v>-35000.0</v>
      </c>
      <c r="K37" s="43">
        <f>-IF(A37=1+Premissas!$B$42,Premissas!$B$55,IF(A37=3+Premissas!$B$42,Premissas!$B$56,IF(A37=6+Premissas!$B$42,Premissas!$B$57,0)))</f>
        <v>-0.0</v>
      </c>
      <c r="L37" s="44">
        <f>G37+H37+I37+J37+K37</f>
        <v>73711.96195211263</v>
      </c>
      <c r="M37" s="44">
        <f>M36+L37</f>
        <v>1076072.631359172</v>
      </c>
      <c r="N37" s="45">
        <f>IF(L37&gt;0,A37,9999)</f>
        <v>33.0</v>
      </c>
      <c r="O37" s="45">
        <f>IF(M37&gt;0,A37,9999)</f>
        <v>33.0</v>
      </c>
    </row>
    <row r="38">
      <c r="A38" s="39" t="n">
        <v>34</v>
      </c>
      <c r="B38" s="40">
        <f>Premissas!$B$39+(Premissas!$B$40-Premissas!$B$39)*A38/36</f>
        <v>590.6111111111111</v>
      </c>
      <c r="C38" s="41">
        <f>IF(A38-Premissas!$B$42&lt;Premissas!$B$41,0,Premissas!$B$10*B38/(1+EXP(-Premissas!$B$12*(A38-Premissas!$B$42-Premissas!$B$11))))</f>
        <v>561.0524049295212</v>
      </c>
      <c r="D38" s="42">
        <f>MAX(0,C38-C37)</f>
        <v>4.475368401232572</v>
      </c>
      <c r="E38" s="43">
        <f>C38*Premissas!$B$9*(1-Premissas!$B$15)</f>
        <v>125816.00180544512</v>
      </c>
      <c r="F38" s="43">
        <f>IF(A38&gt;=Premissas!$B$46+Premissas!$B$42,Premissas!$B$45*(1-Premissas!$B$15),0)</f>
        <v>7500.0</v>
      </c>
      <c r="G38" s="44">
        <f>E38+F38</f>
        <v>133316.00180544512</v>
      </c>
      <c r="H38" s="43">
        <f>-G38*Premissas!$B$60</f>
        <v>-0.0</v>
      </c>
      <c r="I38" s="43">
        <f>-(C38*Premissas!$B$31+D38*Premissas!$B$13)</f>
        <v>-23787.969427101518</v>
      </c>
      <c r="J38" s="43">
        <f>-IF(A38-Premissas!$B$42&lt;=2,Premissas!$B$49,IF(A38-Premissas!$B$42&lt;=5,Premissas!$B$50,IF(A38-Premissas!$B$42&lt;=8,Premissas!$B$51,Premissas!$B$52)))</f>
        <v>-35000.0</v>
      </c>
      <c r="K38" s="43">
        <f>-IF(A38=1+Premissas!$B$42,Premissas!$B$55,IF(A38=3+Premissas!$B$42,Premissas!$B$56,IF(A38=6+Premissas!$B$42,Premissas!$B$57,0)))</f>
        <v>-0.0</v>
      </c>
      <c r="L38" s="44">
        <f>G38+H38+I38+J38+K38</f>
        <v>74528.0323783436</v>
      </c>
      <c r="M38" s="44">
        <f>M37+L38</f>
        <v>1150600.6637375157</v>
      </c>
      <c r="N38" s="45">
        <f>IF(L38&gt;0,A38,9999)</f>
        <v>34.0</v>
      </c>
      <c r="O38" s="45">
        <f>IF(M38&gt;0,A38,9999)</f>
        <v>34.0</v>
      </c>
    </row>
    <row r="39">
      <c r="A39" s="39" t="n">
        <v>35</v>
      </c>
      <c r="B39" s="40">
        <f>Premissas!$B$39+(Premissas!$B$40-Premissas!$B$39)*A39/36</f>
        <v>595.3055555555555</v>
      </c>
      <c r="C39" s="41">
        <f>IF(A39-Premissas!$B$42&lt;Premissas!$B$41,0,Premissas!$B$10*B39/(1+EXP(-Premissas!$B$12*(A39-Premissas!$B$42-Premissas!$B$11))))</f>
        <v>565.5221851453938</v>
      </c>
      <c r="D39" s="42">
        <f>MAX(0,C39-C38)</f>
        <v>4.469780215872561</v>
      </c>
      <c r="E39" s="43">
        <f>C39*Premissas!$B$9*(1-Premissas!$B$15)</f>
        <v>126818.35001885457</v>
      </c>
      <c r="F39" s="43">
        <f>IF(A39&gt;=Premissas!$B$46+Premissas!$B$42,Premissas!$B$45*(1-Premissas!$B$15),0)</f>
        <v>7500.0</v>
      </c>
      <c r="G39" s="44">
        <f>E39+F39</f>
        <v>134318.35001885457</v>
      </c>
      <c r="H39" s="43">
        <f>-G39*Premissas!$B$60</f>
        <v>-0.0</v>
      </c>
      <c r="I39" s="43">
        <f>-(C39*Premissas!$B$31+D39*Premissas!$B$13)</f>
        <v>-23975.42078690017</v>
      </c>
      <c r="J39" s="43">
        <f>-IF(A39-Premissas!$B$42&lt;=2,Premissas!$B$49,IF(A39-Premissas!$B$42&lt;=5,Premissas!$B$50,IF(A39-Premissas!$B$42&lt;=8,Premissas!$B$51,Premissas!$B$52)))</f>
        <v>-35000.0</v>
      </c>
      <c r="K39" s="43">
        <f>-IF(A39=1+Premissas!$B$42,Premissas!$B$55,IF(A39=3+Premissas!$B$42,Premissas!$B$56,IF(A39=6+Premissas!$B$42,Premissas!$B$57,0)))</f>
        <v>-0.0</v>
      </c>
      <c r="L39" s="44">
        <f>G39+H39+I39+J39+K39</f>
        <v>75342.9292319544</v>
      </c>
      <c r="M39" s="44">
        <f>M38+L39</f>
        <v>1225943.5929694702</v>
      </c>
      <c r="N39" s="45">
        <f>IF(L39&gt;0,A39,9999)</f>
        <v>35.0</v>
      </c>
      <c r="O39" s="45">
        <f>IF(M39&gt;0,A39,9999)</f>
        <v>35.0</v>
      </c>
    </row>
    <row r="40">
      <c r="A40" s="46" t="n">
        <v>36</v>
      </c>
      <c r="B40" s="47">
        <f>Premissas!$B$39+(Premissas!$B$40-Premissas!$B$39)*A40/36</f>
        <v>600.0</v>
      </c>
      <c r="C40" s="48">
        <f>IF(A40-Premissas!$B$42&lt;Premissas!$B$41,0,Premissas!$B$10*B40/(1+EXP(-Premissas!$B$12*(A40-Premissas!$B$42-Premissas!$B$11))))</f>
        <v>569.9883725202504</v>
      </c>
      <c r="D40" s="49">
        <f>MAX(0,C40-C39)</f>
        <v>4.466187374856645</v>
      </c>
      <c r="E40" s="50">
        <f>C40*Premissas!$B$9*(1-Premissas!$B$15)</f>
        <v>127819.89253766616</v>
      </c>
      <c r="F40" s="50">
        <f>IF(A40&gt;=Premissas!$B$46+Premissas!$B$42,Premissas!$B$45*(1-Premissas!$B$15),0)</f>
        <v>7500.0</v>
      </c>
      <c r="G40" s="51">
        <f>E40+F40</f>
        <v>135319.89253766616</v>
      </c>
      <c r="H40" s="50">
        <f>-G40*Premissas!$B$60</f>
        <v>-0.0</v>
      </c>
      <c r="I40" s="50">
        <f>-(C40*Premissas!$B$31+D40*Premissas!$B$13)</f>
        <v>-24162.82101459335</v>
      </c>
      <c r="J40" s="50">
        <f>-IF(A40-Premissas!$B$42&lt;=2,Premissas!$B$49,IF(A40-Premissas!$B$42&lt;=5,Premissas!$B$50,IF(A40-Premissas!$B$42&lt;=8,Premissas!$B$51,Premissas!$B$52)))</f>
        <v>-35000.0</v>
      </c>
      <c r="K40" s="50">
        <f>-IF(A40=1+Premissas!$B$42,Premissas!$B$55,IF(A40=3+Premissas!$B$42,Premissas!$B$56,IF(A40=6+Premissas!$B$42,Premissas!$B$57,0)))</f>
        <v>-0.0</v>
      </c>
      <c r="L40" s="51">
        <f>G40+H40+I40+J40+K40</f>
        <v>76157.07152307281</v>
      </c>
      <c r="M40" s="51">
        <f>M39+L40</f>
        <v>1302100.664492543</v>
      </c>
      <c r="N40" s="52">
        <f>IF(L40&gt;0,A40,9999)</f>
        <v>36.0</v>
      </c>
      <c r="O40" s="52">
        <f>IF(M40&gt;0,A40,9999)</f>
        <v>36.0</v>
      </c>
    </row>
    <row r="42">
      <c r="N42" s="2" t="inlineStr">
        <is>
          <t>Colunas auxiliares: 9999 = ainda não aconteceu.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34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2" customWidth="1" min="3" max="3"/>
    <col width="46" customWidth="1" min="4" max="4"/>
    <col width="2" customWidth="1" min="5" max="5"/>
    <col width="2" customWidth="1" min="6" max="6"/>
  </cols>
  <sheetData>
    <row r="1">
      <c r="A1" s="1" t="inlineStr">
        <is>
          <t>Resumo — os números de decisão</t>
        </is>
      </c>
    </row>
    <row r="2">
      <c r="A2" s="2" t="inlineStr">
        <is>
          <t>Tudo calculado a partir do Modelo mensal. Nada digitado.</t>
        </is>
      </c>
    </row>
    <row r="4" ht="28" customHeight="1">
      <c r="A4" s="11" t="inlineStr">
        <is>
          <t>Indicador</t>
        </is>
      </c>
      <c r="B4" s="11" t="inlineStr">
        <is>
          <t>Valor</t>
        </is>
      </c>
      <c r="C4" s="11" t="inlineStr">
        <is>
          <t>Unidade</t>
        </is>
      </c>
      <c r="D4" s="11" t="inlineStr">
        <is>
          <t>Leitura</t>
        </is>
      </c>
    </row>
    <row r="6">
      <c r="A6" s="5" t="inlineStr">
        <is>
          <t>CAIXA</t>
        </is>
      </c>
      <c r="B6" s="6" t="n"/>
      <c r="C6" s="6" t="n"/>
      <c r="D6" s="6" t="n"/>
    </row>
    <row r="7">
      <c r="A7" s="14" t="inlineStr">
        <is>
          <t>Capital necessário</t>
        </is>
      </c>
      <c r="B7" s="53">
        <f>-MIN('Modelo mensal'!M5:M40)</f>
        <v>191609.41776306435</v>
      </c>
      <c r="C7" s="2" t="inlineStr">
        <is>
          <t>R$</t>
        </is>
      </c>
      <c r="D7" s="18" t="inlineStr">
        <is>
          <t>O ponto mais fundo do caixa. É o dinheiro que precisa existir antes de começar.</t>
        </is>
      </c>
    </row>
    <row r="8">
      <c r="A8" s="14" t="inlineStr">
        <is>
          <t>Mês do pico de caixa negativo</t>
        </is>
      </c>
      <c r="B8" s="40">
        <f>INDEX('Modelo mensal'!A5:A40,MATCH(MIN('Modelo mensal'!M5:M40),'Modelo mensal'!M5:M40,0))</f>
        <v>10.0</v>
      </c>
      <c r="C8" s="2" t="inlineStr">
        <is>
          <t>mês</t>
        </is>
      </c>
      <c r="D8" s="18" t="inlineStr"/>
    </row>
    <row r="9">
      <c r="A9" s="14" t="inlineStr">
        <is>
          <t>1º mês com resultado positivo</t>
        </is>
      </c>
      <c r="B9" s="54">
        <f>IF(MIN('Modelo mensal'!N5:N40)=9999,0,MIN('Modelo mensal'!N5:N40))</f>
        <v>11.0</v>
      </c>
      <c r="C9" s="2" t="inlineStr">
        <is>
          <t>mês</t>
        </is>
      </c>
      <c r="D9" s="18" t="inlineStr">
        <is>
          <t>Zero significa que não acontece em 36 meses.</t>
        </is>
      </c>
    </row>
    <row r="10">
      <c r="A10" s="14" t="inlineStr">
        <is>
          <t>Mês em que o caixa volta a zero</t>
        </is>
      </c>
      <c r="B10" s="54">
        <f>IF(MIN('Modelo mensal'!O5:O40)=9999,0,MIN('Modelo mensal'!O5:O40))</f>
        <v>17.0</v>
      </c>
      <c r="C10" s="2" t="inlineStr">
        <is>
          <t>mês</t>
        </is>
      </c>
      <c r="D10" s="18" t="inlineStr">
        <is>
          <t>Zero significa que não volta em 36 meses.</t>
        </is>
      </c>
    </row>
    <row r="11">
      <c r="A11" s="14" t="inlineStr">
        <is>
          <t>Caixa no mês 36</t>
        </is>
      </c>
      <c r="B11" s="43">
        <f>'Modelo mensal'!M40</f>
        <v>1302100.664492543</v>
      </c>
      <c r="C11" s="2" t="inlineStr">
        <is>
          <t>R$</t>
        </is>
      </c>
      <c r="D11" s="18" t="inlineStr"/>
    </row>
    <row r="13">
      <c r="A13" s="5" t="inlineStr">
        <is>
          <t>RESULTADO POR ANO</t>
        </is>
      </c>
      <c r="B13" s="6" t="n"/>
      <c r="C13" s="6" t="n"/>
      <c r="D13" s="6" t="n"/>
    </row>
    <row r="14">
      <c r="A14" s="3" t="inlineStr">
        <is>
          <t>Ano</t>
        </is>
      </c>
      <c r="B14" s="3" t="inlineStr">
        <is>
          <t>Receita (antes de impostos)</t>
        </is>
      </c>
      <c r="C14" s="3" t="inlineStr">
        <is>
          <t>Resultado</t>
        </is>
      </c>
      <c r="D14" s="3" t="inlineStr">
        <is>
          <t>Lojas no fim do ano</t>
        </is>
      </c>
    </row>
    <row r="15">
      <c r="A15" s="14" t="inlineStr">
        <is>
          <t>Ano 1</t>
        </is>
      </c>
      <c r="B15" s="43">
        <f>SUM('Modelo mensal'!G5:G16)</f>
        <v>195713.25606930902</v>
      </c>
      <c r="C15" s="43">
        <f>SUM('Modelo mensal'!L5:L16)</f>
        <v>-176897.50705181021</v>
      </c>
      <c r="D15" s="40">
        <f>'Modelo mensal'!C16</f>
        <v>231.48333333333332</v>
      </c>
    </row>
    <row r="16">
      <c r="A16" s="14" t="inlineStr">
        <is>
          <t>Ano 2</t>
        </is>
      </c>
      <c r="B16" s="43">
        <f>SUM('Modelo mensal'!G17:G28)</f>
        <v>1275833.94403709</v>
      </c>
      <c r="C16" s="43">
        <f>SUM('Modelo mensal'!L17:L28)</f>
        <v>619604.0670259246</v>
      </c>
      <c r="D16" s="40">
        <f>'Modelo mensal'!C28</f>
        <v>514.1610831835932</v>
      </c>
    </row>
    <row r="17">
      <c r="A17" s="14" t="inlineStr">
        <is>
          <t>Ano 3</t>
        </is>
      </c>
      <c r="B17" s="43">
        <f>SUM('Modelo mensal'!G29:G40)</f>
        <v>1556927.7992863914</v>
      </c>
      <c r="C17" s="43">
        <f>SUM('Modelo mensal'!L29:L40)</f>
        <v>859394.1045184282</v>
      </c>
      <c r="D17" s="40">
        <f>'Modelo mensal'!C40</f>
        <v>569.9883725202504</v>
      </c>
    </row>
    <row r="19">
      <c r="A19" s="5" t="inlineStr">
        <is>
          <t>PONTO DE EQUILÍBRIO</t>
        </is>
      </c>
      <c r="B19" s="6" t="n"/>
      <c r="C19" s="6" t="n"/>
      <c r="D19" s="6" t="n"/>
    </row>
    <row r="20">
      <c r="A20" s="14" t="inlineStr">
        <is>
          <t>Lojas necessárias — só os planos</t>
        </is>
      </c>
      <c r="B20" s="55">
        <f>IF(Premissas!$B$32=0,0,Premissas!$B$52/Premissas!$B$32)</f>
        <v>136.18677042801556</v>
      </c>
      <c r="C20" s="2" t="inlineStr">
        <is>
          <t>lojas</t>
        </is>
      </c>
      <c r="D20" s="18" t="inlineStr">
        <is>
          <t>Custo fixo em regime dividido pela margem de contribuição.</t>
        </is>
      </c>
    </row>
    <row r="21">
      <c r="A21" s="14" t="inlineStr">
        <is>
          <t>Lojas necessárias — com o Painel da Rede</t>
        </is>
      </c>
      <c r="B21" s="55">
        <f>IF(Premissas!$B$32=0,0,MAX(0,(Premissas!$B$52-Premissas!$B$45)/Premissas!$B$32))</f>
        <v>97.27626459143968</v>
      </c>
      <c r="C21" s="2" t="inlineStr">
        <is>
          <t>lojas</t>
        </is>
      </c>
      <c r="D21" s="18" t="inlineStr"/>
    </row>
    <row r="22">
      <c r="A22" s="14" t="inlineStr">
        <is>
          <t>% da rede de hoje — só os planos</t>
        </is>
      </c>
      <c r="B22" s="56">
        <f>IF(Premissas!$B$39=0,0,B20/Premissas!$B$39)</f>
        <v>0.3159785856798505</v>
      </c>
      <c r="C22" s="2" t="inlineStr">
        <is>
          <t>%</t>
        </is>
      </c>
      <c r="D22" s="18" t="inlineStr"/>
    </row>
    <row r="23">
      <c r="A23" s="14" t="inlineStr">
        <is>
          <t>% da rede de hoje — com o Painel</t>
        </is>
      </c>
      <c r="B23" s="56">
        <f>IF(Premissas!$B$39=0,0,B21/Premissas!$B$39)</f>
        <v>0.22569898977132177</v>
      </c>
      <c r="C23" s="2" t="inlineStr">
        <is>
          <t>%</t>
        </is>
      </c>
      <c r="D23" s="18" t="inlineStr"/>
    </row>
    <row r="25">
      <c r="A25" s="5" t="inlineStr">
        <is>
          <t>ECONOMIA UNITÁRIA</t>
        </is>
      </c>
      <c r="B25" s="6" t="n"/>
      <c r="C25" s="6" t="n"/>
      <c r="D25" s="6" t="n"/>
    </row>
    <row r="26">
      <c r="A26" s="14" t="inlineStr">
        <is>
          <t>Ticket médio</t>
        </is>
      </c>
      <c r="B26" s="16">
        <f>Premissas!$B$9</f>
        <v>299.0</v>
      </c>
      <c r="C26" s="2" t="inlineStr">
        <is>
          <t>R$/mês</t>
        </is>
      </c>
      <c r="D26" s="18" t="inlineStr"/>
    </row>
    <row r="27">
      <c r="A27" s="14" t="inlineStr">
        <is>
          <t>Custo variável por loja</t>
        </is>
      </c>
      <c r="B27" s="16">
        <f>Premissas!$B$31</f>
        <v>42.0</v>
      </c>
      <c r="C27" s="2" t="inlineStr">
        <is>
          <t>R$/mês</t>
        </is>
      </c>
      <c r="D27" s="18" t="inlineStr"/>
    </row>
    <row r="28">
      <c r="A28" s="14" t="inlineStr">
        <is>
          <t>Margem de contribuição</t>
        </is>
      </c>
      <c r="B28" s="16">
        <f>Premissas!$B$32</f>
        <v>257.0</v>
      </c>
      <c r="C28" s="2" t="inlineStr">
        <is>
          <t>R$/mês</t>
        </is>
      </c>
      <c r="D28" s="18" t="inlineStr"/>
    </row>
    <row r="29">
      <c r="A29" s="14" t="inlineStr">
        <is>
          <t>Margem de contribuição %</t>
        </is>
      </c>
      <c r="B29" s="56">
        <f>Premissas!$B$32/Premissas!$B$9</f>
        <v>0.8595317725752508</v>
      </c>
      <c r="C29" s="2" t="inlineStr">
        <is>
          <t>%</t>
        </is>
      </c>
      <c r="D29" s="18" t="inlineStr"/>
    </row>
    <row r="30">
      <c r="A30" s="14" t="inlineStr">
        <is>
          <t>Payback do CAC</t>
        </is>
      </c>
      <c r="B30" s="41">
        <f>IF(Premissas!$B$32=0,0,Premissas!$B$13/Premissas!$B$32)</f>
        <v>0.19455252918287938</v>
      </c>
      <c r="C30" s="2" t="inlineStr">
        <is>
          <t>meses</t>
        </is>
      </c>
      <c r="D30" s="18" t="inlineStr">
        <is>
          <t>Quantos meses uma loja leva para devolver o custo de tê-la conquistado.</t>
        </is>
      </c>
    </row>
    <row r="31">
      <c r="A31" s="14" t="inlineStr">
        <is>
          <t>LTV</t>
        </is>
      </c>
      <c r="B31" s="43">
        <f>IF(Premissas!$B$36=0,0,Premissas!$B$32/Premissas!$B$36)</f>
        <v>17133.333333333336</v>
      </c>
      <c r="C31" s="2" t="inlineStr">
        <is>
          <t>R$</t>
        </is>
      </c>
      <c r="D31" s="18" t="inlineStr">
        <is>
          <t>Margem de contribuição dividida pelo churn mensal.</t>
        </is>
      </c>
    </row>
    <row r="32">
      <c r="A32" s="14" t="inlineStr">
        <is>
          <t>LTV / CAC</t>
        </is>
      </c>
      <c r="B32" s="57">
        <f>IF(Premissas!$B$13=0,0,B31/Premissas!$B$13)</f>
        <v>342.66666666666674</v>
      </c>
      <c r="C32" s="2" t="inlineStr">
        <is>
          <t>x</t>
        </is>
      </c>
      <c r="D32" s="18" t="inlineStr">
        <is>
          <t>Acima de 3x já é saudável. Um número muito alto aqui não é sorte: diz que o risco deste negócio não está em conquistar cliente, está no canal.</t>
        </is>
      </c>
    </row>
    <row r="34">
      <c r="A34" s="58" t="inlineStr">
        <is>
          <t>Este resumo está antes dos impostos se a alíquota em Premissas estiver zerada (item N3).</t>
        </is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L77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7" customWidth="1" min="3" max="3"/>
    <col width="17" customWidth="1" min="4" max="4"/>
    <col width="16" customWidth="1" min="5" max="5"/>
    <col width="16" customWidth="1" min="6" max="6"/>
    <col width="15" customWidth="1" min="7" max="7"/>
    <col width="12" customWidth="1" min="8" max="8"/>
    <col width="11" customWidth="1" min="9" max="9"/>
    <col width="13" customWidth="1" min="10" max="10"/>
    <col width="11" customWidth="1" min="11" max="11"/>
  </cols>
  <sheetData>
    <row r="1">
      <c r="A1" s="1" t="inlineStr">
        <is>
          <t>Cenários</t>
        </is>
      </c>
    </row>
    <row r="2">
      <c r="A2" s="2" t="inlineStr">
        <is>
          <t>Cada cenário recalcula os 36 meses com suas próprias premissas. Os valores em branco herdam a aba Premissas.</t>
        </is>
      </c>
    </row>
    <row r="4">
      <c r="A4" s="5" t="inlineStr">
        <is>
          <t>PREMISSAS DE CADA CENÁRIO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</row>
    <row r="5" ht="28" customHeight="1">
      <c r="A5" s="11" t="inlineStr">
        <is>
          <t>Cenário</t>
        </is>
      </c>
      <c r="B5" s="11" t="inlineStr">
        <is>
          <t>Preço por loja</t>
        </is>
      </c>
      <c r="C5" s="11" t="inlineStr">
        <is>
          <t>Teto de adoção</t>
        </is>
      </c>
      <c r="D5" s="11" t="inlineStr">
        <is>
          <t>Atraso (meses)</t>
        </is>
      </c>
      <c r="E5" s="11" t="inlineStr">
        <is>
          <t>Participação franqueadora</t>
        </is>
      </c>
      <c r="F5" s="11" t="inlineStr">
        <is>
          <t>Painel da Rede</t>
        </is>
      </c>
      <c r="G5" s="11" t="inlineStr">
        <is>
          <t>Custo fixo em regime</t>
        </is>
      </c>
      <c r="H5" s="11" t="inlineStr">
        <is>
          <t>CAC por loja</t>
        </is>
      </c>
      <c r="I5" s="11" t="inlineStr">
        <is>
          <t>Mês central</t>
        </is>
      </c>
      <c r="J5" s="11" t="inlineStr">
        <is>
          <t>Custo variável</t>
        </is>
      </c>
      <c r="K5" s="11" t="inlineStr">
        <is>
          <t>Inclinação</t>
        </is>
      </c>
    </row>
    <row r="6">
      <c r="A6" s="59" t="inlineStr">
        <is>
          <t>1 · SEM homologação — venda loja a loja</t>
        </is>
      </c>
      <c r="B6" s="60">
        <f>Premissas!$C$9</f>
        <v>319.0</v>
      </c>
      <c r="C6" s="61">
        <f>Premissas!$C$10</f>
        <v>0.65</v>
      </c>
      <c r="D6" s="47">
        <f>Premissas!$B$42</f>
        <v>0.0</v>
      </c>
      <c r="E6" s="61">
        <f>Premissas!$C$15</f>
        <v>0.0</v>
      </c>
      <c r="F6" s="50">
        <f>Premissas!$B$45</f>
        <v>10000.0</v>
      </c>
      <c r="G6" s="50">
        <f>Premissas!$B$52</f>
        <v>35000.0</v>
      </c>
      <c r="H6" s="50">
        <f>Premissas!$C$13</f>
        <v>400.0</v>
      </c>
      <c r="I6" s="48">
        <f>Premissas!$C$11</f>
        <v>16.0</v>
      </c>
      <c r="J6" s="60">
        <f>Premissas!$B$66</f>
        <v>45.0</v>
      </c>
      <c r="K6" s="62">
        <f>Premissas!$C$12</f>
        <v>0.32</v>
      </c>
    </row>
    <row r="7">
      <c r="A7" s="63" t="inlineStr">
        <is>
          <t>2 · COM homologação — obrigatório, participação 25%</t>
        </is>
      </c>
      <c r="B7" s="64">
        <f>Premissas!$D$9</f>
        <v>299.0</v>
      </c>
      <c r="C7" s="65">
        <f>Premissas!$D$10</f>
        <v>0.95</v>
      </c>
      <c r="D7" s="66">
        <f>Premissas!$B$42</f>
        <v>0.0</v>
      </c>
      <c r="E7" s="65">
        <f>Premissas!$D$15</f>
        <v>0.25</v>
      </c>
      <c r="F7" s="67">
        <f>Premissas!$B$45</f>
        <v>10000.0</v>
      </c>
      <c r="G7" s="67">
        <f>Premissas!$B$52</f>
        <v>35000.0</v>
      </c>
      <c r="H7" s="67">
        <f>Premissas!$D$13</f>
        <v>50.0</v>
      </c>
      <c r="I7" s="68">
        <f>Premissas!$D$11</f>
        <v>12.0</v>
      </c>
      <c r="J7" s="64">
        <f>Premissas!$B$67</f>
        <v>42.0</v>
      </c>
      <c r="K7" s="69">
        <f>Premissas!$D$12</f>
        <v>0.45</v>
      </c>
    </row>
    <row r="8">
      <c r="A8" s="14" t="inlineStr">
        <is>
          <t>Com homologação · sem participação</t>
        </is>
      </c>
      <c r="B8" s="16">
        <f>Premissas!$D$9</f>
        <v>299.0</v>
      </c>
      <c r="C8" s="56">
        <f>Premissas!$D$10</f>
        <v>0.95</v>
      </c>
      <c r="D8" s="40">
        <f>Premissas!$B$42</f>
        <v>0.0</v>
      </c>
      <c r="E8" s="20" t="n">
        <v>0</v>
      </c>
      <c r="F8" s="43">
        <f>Premissas!$B$45</f>
        <v>10000.0</v>
      </c>
      <c r="G8" s="43">
        <f>Premissas!$B$52</f>
        <v>35000.0</v>
      </c>
      <c r="H8" s="43">
        <f>Premissas!$D$13</f>
        <v>50.0</v>
      </c>
      <c r="I8" s="41">
        <f>Premissas!$D$11</f>
        <v>12.0</v>
      </c>
      <c r="J8" s="16">
        <f>Premissas!$B$67</f>
        <v>42.0</v>
      </c>
      <c r="K8" s="70">
        <f>Premissas!$D$12</f>
        <v>0.45</v>
      </c>
    </row>
    <row r="9">
      <c r="A9" s="14" t="inlineStr">
        <is>
          <t>Com homologação · participação 20%</t>
        </is>
      </c>
      <c r="B9" s="16">
        <f>Premissas!$D$9</f>
        <v>299.0</v>
      </c>
      <c r="C9" s="56">
        <f>Premissas!$D$10</f>
        <v>0.95</v>
      </c>
      <c r="D9" s="40">
        <f>Premissas!$B$42</f>
        <v>0.0</v>
      </c>
      <c r="E9" s="20" t="n">
        <v>0.2</v>
      </c>
      <c r="F9" s="43">
        <f>Premissas!$B$45</f>
        <v>10000.0</v>
      </c>
      <c r="G9" s="43">
        <f>Premissas!$B$52</f>
        <v>35000.0</v>
      </c>
      <c r="H9" s="43">
        <f>Premissas!$D$13</f>
        <v>50.0</v>
      </c>
      <c r="I9" s="41">
        <f>Premissas!$D$11</f>
        <v>12.0</v>
      </c>
      <c r="J9" s="16">
        <f>Premissas!$B$67</f>
        <v>42.0</v>
      </c>
      <c r="K9" s="70">
        <f>Premissas!$D$12</f>
        <v>0.45</v>
      </c>
    </row>
    <row r="10">
      <c r="A10" s="14" t="inlineStr">
        <is>
          <t>Com homologação · participação 30%</t>
        </is>
      </c>
      <c r="B10" s="16">
        <f>Premissas!$D$9</f>
        <v>299.0</v>
      </c>
      <c r="C10" s="56">
        <f>Premissas!$D$10</f>
        <v>0.95</v>
      </c>
      <c r="D10" s="40">
        <f>Premissas!$B$42</f>
        <v>0.0</v>
      </c>
      <c r="E10" s="20" t="n">
        <v>0.3</v>
      </c>
      <c r="F10" s="43">
        <f>Premissas!$B$45</f>
        <v>10000.0</v>
      </c>
      <c r="G10" s="43">
        <f>Premissas!$B$52</f>
        <v>35000.0</v>
      </c>
      <c r="H10" s="43">
        <f>Premissas!$D$13</f>
        <v>50.0</v>
      </c>
      <c r="I10" s="41">
        <f>Premissas!$D$11</f>
        <v>12.0</v>
      </c>
      <c r="J10" s="16">
        <f>Premissas!$B$67</f>
        <v>42.0</v>
      </c>
      <c r="K10" s="70">
        <f>Premissas!$D$12</f>
        <v>0.45</v>
      </c>
    </row>
    <row r="11">
      <c r="A11" s="14" t="inlineStr">
        <is>
          <t>Com homologação · participação 40%</t>
        </is>
      </c>
      <c r="B11" s="16">
        <f>Premissas!$D$9</f>
        <v>299.0</v>
      </c>
      <c r="C11" s="56">
        <f>Premissas!$D$10</f>
        <v>0.95</v>
      </c>
      <c r="D11" s="40">
        <f>Premissas!$B$42</f>
        <v>0.0</v>
      </c>
      <c r="E11" s="20" t="n">
        <v>0.4</v>
      </c>
      <c r="F11" s="43">
        <f>Premissas!$B$45</f>
        <v>10000.0</v>
      </c>
      <c r="G11" s="43">
        <f>Premissas!$B$52</f>
        <v>35000.0</v>
      </c>
      <c r="H11" s="43">
        <f>Premissas!$D$13</f>
        <v>50.0</v>
      </c>
      <c r="I11" s="41">
        <f>Premissas!$D$11</f>
        <v>12.0</v>
      </c>
      <c r="J11" s="16">
        <f>Premissas!$B$67</f>
        <v>42.0</v>
      </c>
      <c r="K11" s="70">
        <f>Premissas!$D$12</f>
        <v>0.45</v>
      </c>
    </row>
    <row r="12">
      <c r="A12" s="14" t="inlineStr">
        <is>
          <t>Com homologação · preço R$ 249 · particip. 25%</t>
        </is>
      </c>
      <c r="B12" s="31" t="n">
        <v>249</v>
      </c>
      <c r="C12" s="56">
        <f>Premissas!$D$10</f>
        <v>0.95</v>
      </c>
      <c r="D12" s="40">
        <f>Premissas!$B$42</f>
        <v>0.0</v>
      </c>
      <c r="E12" s="56">
        <f>Premissas!$D$15</f>
        <v>0.25</v>
      </c>
      <c r="F12" s="43">
        <f>Premissas!$B$45</f>
        <v>10000.0</v>
      </c>
      <c r="G12" s="43">
        <f>Premissas!$B$52</f>
        <v>35000.0</v>
      </c>
      <c r="H12" s="43">
        <f>Premissas!$D$13</f>
        <v>50.0</v>
      </c>
      <c r="I12" s="41">
        <f>Premissas!$D$11</f>
        <v>12.0</v>
      </c>
      <c r="J12" s="16">
        <f>Premissas!$B$67</f>
        <v>42.0</v>
      </c>
      <c r="K12" s="70">
        <f>Premissas!$D$12</f>
        <v>0.45</v>
      </c>
    </row>
    <row r="13">
      <c r="A13" s="14" t="inlineStr">
        <is>
          <t>Com homologação · atraso de 6 meses</t>
        </is>
      </c>
      <c r="B13" s="16">
        <f>Premissas!$D$9</f>
        <v>299.0</v>
      </c>
      <c r="C13" s="56">
        <f>Premissas!$D$10</f>
        <v>0.95</v>
      </c>
      <c r="D13" s="36" t="n">
        <v>6</v>
      </c>
      <c r="E13" s="56">
        <f>Premissas!$D$15</f>
        <v>0.25</v>
      </c>
      <c r="F13" s="43">
        <f>Premissas!$B$45</f>
        <v>10000.0</v>
      </c>
      <c r="G13" s="43">
        <f>Premissas!$B$52</f>
        <v>35000.0</v>
      </c>
      <c r="H13" s="43">
        <f>Premissas!$D$13</f>
        <v>50.0</v>
      </c>
      <c r="I13" s="41">
        <f>Premissas!$D$11</f>
        <v>12.0</v>
      </c>
      <c r="J13" s="16">
        <f>Premissas!$B$67</f>
        <v>42.0</v>
      </c>
      <c r="K13" s="70">
        <f>Premissas!$D$12</f>
        <v>0.45</v>
      </c>
    </row>
    <row r="14">
      <c r="A14" s="14" t="inlineStr">
        <is>
          <t>Com homologação · enxuta, sem pró-labore</t>
        </is>
      </c>
      <c r="B14" s="16">
        <f>Premissas!$D$9</f>
        <v>299.0</v>
      </c>
      <c r="C14" s="56">
        <f>Premissas!$D$10</f>
        <v>0.95</v>
      </c>
      <c r="D14" s="40">
        <f>Premissas!$B$42</f>
        <v>0.0</v>
      </c>
      <c r="E14" s="56">
        <f>Premissas!$D$15</f>
        <v>0.25</v>
      </c>
      <c r="F14" s="43">
        <f>Premissas!$B$45</f>
        <v>10000.0</v>
      </c>
      <c r="G14" s="29" t="n">
        <v>25000</v>
      </c>
      <c r="H14" s="43">
        <f>Premissas!$D$13</f>
        <v>50.0</v>
      </c>
      <c r="I14" s="41">
        <f>Premissas!$D$11</f>
        <v>12.0</v>
      </c>
      <c r="J14" s="16">
        <f>Premissas!$B$67</f>
        <v>42.0</v>
      </c>
      <c r="K14" s="70">
        <f>Premissas!$D$12</f>
        <v>0.45</v>
      </c>
    </row>
    <row r="15">
      <c r="A15" s="14" t="inlineStr">
        <is>
          <t>Sem homologação · adoção metade da rede</t>
        </is>
      </c>
      <c r="B15" s="16">
        <f>Premissas!$C$9</f>
        <v>319.0</v>
      </c>
      <c r="C15" s="20" t="n">
        <v>0.325</v>
      </c>
      <c r="D15" s="40">
        <f>Premissas!$B$42</f>
        <v>0.0</v>
      </c>
      <c r="E15" s="56">
        <f>Premissas!$C$15</f>
        <v>0.0</v>
      </c>
      <c r="F15" s="43">
        <f>Premissas!$B$45</f>
        <v>10000.0</v>
      </c>
      <c r="G15" s="43">
        <f>Premissas!$B$52</f>
        <v>35000.0</v>
      </c>
      <c r="H15" s="43">
        <f>Premissas!$C$13</f>
        <v>400.0</v>
      </c>
      <c r="I15" s="41">
        <f>Premissas!$C$11</f>
        <v>16.0</v>
      </c>
      <c r="J15" s="16">
        <f>Premissas!$B$66</f>
        <v>45.0</v>
      </c>
      <c r="K15" s="70">
        <f>Premissas!$C$12</f>
        <v>0.32</v>
      </c>
    </row>
    <row r="16">
      <c r="A16" s="14" t="inlineStr">
        <is>
          <t>Sem homologação · participação de 35%</t>
        </is>
      </c>
      <c r="B16" s="16">
        <f>Premissas!$C$9</f>
        <v>319.0</v>
      </c>
      <c r="C16" s="56">
        <f>Premissas!$C$10</f>
        <v>0.65</v>
      </c>
      <c r="D16" s="40">
        <f>Premissas!$B$42</f>
        <v>0.0</v>
      </c>
      <c r="E16" s="20" t="n">
        <v>0.35</v>
      </c>
      <c r="F16" s="43">
        <f>Premissas!$B$45</f>
        <v>10000.0</v>
      </c>
      <c r="G16" s="43">
        <f>Premissas!$B$52</f>
        <v>35000.0</v>
      </c>
      <c r="H16" s="43">
        <f>Premissas!$C$13</f>
        <v>400.0</v>
      </c>
      <c r="I16" s="41">
        <f>Premissas!$C$11</f>
        <v>16.0</v>
      </c>
      <c r="J16" s="16">
        <f>Premissas!$B$66</f>
        <v>45.0</v>
      </c>
      <c r="K16" s="70">
        <f>Premissas!$C$12</f>
        <v>0.32</v>
      </c>
    </row>
    <row r="17">
      <c r="A17" s="14" t="inlineStr">
        <is>
          <t>Sem homologação · pior caso combinado</t>
        </is>
      </c>
      <c r="B17" s="16">
        <f>Premissas!$C$9</f>
        <v>319.0</v>
      </c>
      <c r="C17" s="20" t="n">
        <v>0.325</v>
      </c>
      <c r="D17" s="36" t="n">
        <v>6</v>
      </c>
      <c r="E17" s="20" t="n">
        <v>0.35</v>
      </c>
      <c r="F17" s="43">
        <f>Premissas!$B$45</f>
        <v>10000.0</v>
      </c>
      <c r="G17" s="43">
        <f>Premissas!$B$52</f>
        <v>35000.0</v>
      </c>
      <c r="H17" s="43">
        <f>Premissas!$C$13</f>
        <v>400.0</v>
      </c>
      <c r="I17" s="41">
        <f>Premissas!$C$11</f>
        <v>16.0</v>
      </c>
      <c r="J17" s="16">
        <f>Premissas!$B$66</f>
        <v>45.0</v>
      </c>
      <c r="K17" s="70">
        <f>Premissas!$C$12</f>
        <v>0.32</v>
      </c>
    </row>
    <row r="19">
      <c r="A19" s="5" t="inlineStr">
        <is>
          <t>RESULTADO DE CADA CENÁRIO</t>
        </is>
      </c>
      <c r="B19" s="6" t="n"/>
      <c r="C19" s="6" t="n"/>
      <c r="D19" s="6" t="n"/>
      <c r="E19" s="6" t="n"/>
      <c r="F19" s="6" t="n"/>
      <c r="G19" s="6" t="n"/>
    </row>
    <row r="20" ht="28" customHeight="1">
      <c r="A20" s="11" t="inlineStr">
        <is>
          <t>Cenário</t>
        </is>
      </c>
      <c r="B20" s="11" t="inlineStr">
        <is>
          <t>1º mês positivo</t>
        </is>
      </c>
      <c r="C20" s="11" t="inlineStr">
        <is>
          <t>Caixa volta a zero</t>
        </is>
      </c>
      <c r="D20" s="11" t="inlineStr">
        <is>
          <t>Capital necessário</t>
        </is>
      </c>
      <c r="E20" s="11" t="inlineStr">
        <is>
          <t>Receita ano 3</t>
        </is>
      </c>
      <c r="F20" s="11" t="inlineStr">
        <is>
          <t>Resultado ano 3</t>
        </is>
      </c>
      <c r="G20" s="11" t="inlineStr">
        <is>
          <t>Lojas no mês 36</t>
        </is>
      </c>
    </row>
    <row r="21">
      <c r="A21" s="59" t="inlineStr">
        <is>
          <t>1 · SEM homologação — venda loja a loja</t>
        </is>
      </c>
      <c r="B21" s="52">
        <f>IF(MIN(H42:H77)=9999,0,MIN(H42:H77))</f>
        <v>15.0</v>
      </c>
      <c r="C21" s="52">
        <f>IF(MIN(I42:I77)=9999,0,MIN(I42:I77))</f>
        <v>23.0</v>
      </c>
      <c r="D21" s="51">
        <f>-MIN(G42:G77)</f>
        <v>267088.2722841579</v>
      </c>
      <c r="E21" s="51">
        <f>SUM(D66:D77)</f>
        <v>1526137.1978891685</v>
      </c>
      <c r="F21" s="51">
        <f>SUM(F66:F77)</f>
        <v>883248.2244722812</v>
      </c>
      <c r="G21" s="52">
        <f>C77</f>
        <v>389.35306757873195</v>
      </c>
    </row>
    <row r="22">
      <c r="A22" s="63" t="inlineStr">
        <is>
          <t>2 · COM homologação — obrigatório, participação 25%</t>
        </is>
      </c>
      <c r="B22" s="71">
        <f>IF(MIN(O42:O77)=9999,0,MIN(O42:O77))</f>
        <v>11.0</v>
      </c>
      <c r="C22" s="71">
        <f>IF(MIN(P42:P77)=9999,0,MIN(P42:P77))</f>
        <v>17.0</v>
      </c>
      <c r="D22" s="72">
        <f>-MIN(N42:N77)</f>
        <v>191609.41776306435</v>
      </c>
      <c r="E22" s="72">
        <f>SUM(K66:K77)</f>
        <v>1556927.7992863914</v>
      </c>
      <c r="F22" s="72">
        <f>SUM(M66:M77)</f>
        <v>859394.1045184282</v>
      </c>
      <c r="G22" s="71">
        <f>J77</f>
        <v>569.9883725202504</v>
      </c>
    </row>
    <row r="23">
      <c r="A23" s="14" t="inlineStr">
        <is>
          <t>Com homologação · sem participação</t>
        </is>
      </c>
      <c r="B23" s="45">
        <f>IF(MIN(V42:V77)=9999,0,MIN(V42:V77))</f>
        <v>10.0</v>
      </c>
      <c r="C23" s="45">
        <f>IF(MIN(W42:W77)=9999,0,MIN(W42:W77))</f>
        <v>15.0</v>
      </c>
      <c r="D23" s="44">
        <f>-MIN(U42:U77)</f>
        <v>168814.81028750478</v>
      </c>
      <c r="E23" s="44">
        <f>SUM(R66:R77)</f>
        <v>2075903.7323818547</v>
      </c>
      <c r="F23" s="44">
        <f>SUM(T66:T77)</f>
        <v>1378370.037613892</v>
      </c>
      <c r="G23" s="45">
        <f>Q77</f>
        <v>569.9883725202504</v>
      </c>
    </row>
    <row r="24">
      <c r="A24" s="14" t="inlineStr">
        <is>
          <t>Com homologação · participação 20%</t>
        </is>
      </c>
      <c r="B24" s="45">
        <f>IF(MIN(AC42:AC77)=9999,0,MIN(AC42:AC77))</f>
        <v>11.0</v>
      </c>
      <c r="C24" s="45">
        <f>IF(MIN(AD42:AD77)=9999,0,MIN(AD42:AD77))</f>
        <v>17.0</v>
      </c>
      <c r="D24" s="44">
        <f>-MIN(AB42:AB77)</f>
        <v>185691.486187948</v>
      </c>
      <c r="E24" s="44">
        <f>SUM(Y66:Y77)</f>
        <v>1660722.985905484</v>
      </c>
      <c r="F24" s="44">
        <f>SUM(AA66:AA77)</f>
        <v>963189.2911375212</v>
      </c>
      <c r="G24" s="45">
        <f>X77</f>
        <v>569.9883725202504</v>
      </c>
    </row>
    <row r="25">
      <c r="A25" s="14" t="inlineStr">
        <is>
          <t>Com homologação · participação 30%</t>
        </is>
      </c>
      <c r="B25" s="45">
        <f>IF(MIN(AJ42:AJ77)=9999,0,MIN(AJ42:AJ77))</f>
        <v>12.0</v>
      </c>
      <c r="C25" s="45">
        <f>IF(MIN(AK42:AK77)=9999,0,MIN(AK42:AK77))</f>
        <v>18.0</v>
      </c>
      <c r="D25" s="44">
        <f>-MIN(AI42:AI77)</f>
        <v>198024.28321285534</v>
      </c>
      <c r="E25" s="44">
        <f>SUM(AF66:AF77)</f>
        <v>1453132.6126672986</v>
      </c>
      <c r="F25" s="44">
        <f>SUM(AH66:AH77)</f>
        <v>755598.9178993355</v>
      </c>
      <c r="G25" s="45">
        <f>AE77</f>
        <v>569.9883725202504</v>
      </c>
    </row>
    <row r="26">
      <c r="A26" s="14" t="inlineStr">
        <is>
          <t>Com homologação · participação 40%</t>
        </is>
      </c>
      <c r="B26" s="45">
        <f>IF(MIN(AQ42:AQ77)=9999,0,MIN(AQ42:AQ77))</f>
        <v>12.0</v>
      </c>
      <c r="C26" s="45">
        <f>IF(MIN(AR42:AR77)=9999,0,MIN(AR42:AR77))</f>
        <v>21.0</v>
      </c>
      <c r="D26" s="44">
        <f>-MIN(AP42:AP77)</f>
        <v>216198.03235542987</v>
      </c>
      <c r="E26" s="44">
        <f>SUM(AM66:AM77)</f>
        <v>1245542.239429113</v>
      </c>
      <c r="F26" s="44">
        <f>SUM(AO66:AO77)</f>
        <v>548008.5446611501</v>
      </c>
      <c r="G26" s="45">
        <f>AL77</f>
        <v>569.9883725202504</v>
      </c>
    </row>
    <row r="27">
      <c r="A27" s="14" t="inlineStr">
        <is>
          <t>Com homologação · preço R$ 249 · particip. 25%</t>
        </is>
      </c>
      <c r="B27" s="45">
        <f>IF(MIN(AX42:AX77)=9999,0,MIN(AX42:AX77))</f>
        <v>12.0</v>
      </c>
      <c r="C27" s="45">
        <f>IF(MIN(AY42:AY77)=9999,0,MIN(AY42:AY77))</f>
        <v>20.0</v>
      </c>
      <c r="D27" s="44">
        <f>-MIN(AW42:AW77)</f>
        <v>207968.03047590065</v>
      </c>
      <c r="E27" s="44">
        <f>SUM(AT66:AT77)</f>
        <v>1311622.147231811</v>
      </c>
      <c r="F27" s="44">
        <f>SUM(AV66:AV77)</f>
        <v>614088.4524638478</v>
      </c>
      <c r="G27" s="45">
        <f>AS77</f>
        <v>569.9883725202504</v>
      </c>
    </row>
    <row r="28">
      <c r="A28" s="14" t="inlineStr">
        <is>
          <t>Com homologação · atraso de 6 meses</t>
        </is>
      </c>
      <c r="B28" s="45">
        <f>IF(MIN(BE42:BE77)=9999,0,MIN(BE42:BE77))</f>
        <v>17.0</v>
      </c>
      <c r="C28" s="45">
        <f>IF(MIN(BF42:BF77)=9999,0,MIN(BF42:BF77))</f>
        <v>23.0</v>
      </c>
      <c r="D28" s="44">
        <f>-MIN(BD42:BD77)</f>
        <v>218425.80223886785</v>
      </c>
      <c r="E28" s="44">
        <f>SUM(BA66:BA77)</f>
        <v>1544262.4636061583</v>
      </c>
      <c r="F28" s="44">
        <f>SUM(BC66:BC77)</f>
        <v>847598.8167733311</v>
      </c>
      <c r="G28" s="45">
        <f>AZ77</f>
        <v>569.8270351928836</v>
      </c>
    </row>
    <row r="29">
      <c r="A29" s="14" t="inlineStr">
        <is>
          <t>Com homologação · enxuta, sem pró-labore</t>
        </is>
      </c>
      <c r="B29" s="45">
        <f>IF(MIN(BL42:BL77)=9999,0,MIN(BL42:BL77))</f>
        <v>10.0</v>
      </c>
      <c r="C29" s="45">
        <f>IF(MIN(BM42:BM77)=9999,0,MIN(BM42:BM77))</f>
        <v>16.0</v>
      </c>
      <c r="D29" s="44">
        <f>-MIN(BK42:BK77)</f>
        <v>176094.0856508101</v>
      </c>
      <c r="E29" s="44">
        <f>SUM(BH66:BH77)</f>
        <v>1556927.7992863914</v>
      </c>
      <c r="F29" s="44">
        <f>SUM(BJ66:BJ77)</f>
        <v>979394.1045184282</v>
      </c>
      <c r="G29" s="45">
        <f>BG77</f>
        <v>569.9883725202504</v>
      </c>
    </row>
    <row r="30">
      <c r="A30" s="14" t="inlineStr">
        <is>
          <t>Sem homologação · adoção metade da rede</t>
        </is>
      </c>
      <c r="B30" s="45">
        <f>IF(MIN(BS42:BS77)=9999,0,MIN(BS42:BS77))</f>
        <v>19.0</v>
      </c>
      <c r="C30" s="45">
        <f>IF(MIN(BT42:BT77)=9999,0,MIN(BT42:BT77))</f>
        <v>35.0</v>
      </c>
      <c r="D30" s="44">
        <f>-MIN(BR42:BR77)</f>
        <v>327401.7768327235</v>
      </c>
      <c r="E30" s="44">
        <f>SUM(BO66:BO77)</f>
        <v>823068.5989445841</v>
      </c>
      <c r="F30" s="44">
        <f>SUM(BQ66:BQ77)</f>
        <v>291624.11223614065</v>
      </c>
      <c r="G30" s="45">
        <f>BN77</f>
        <v>194.67653378936598</v>
      </c>
    </row>
    <row r="31">
      <c r="A31" s="14" t="inlineStr">
        <is>
          <t>Sem homologação · participação de 35%</t>
        </is>
      </c>
      <c r="B31" s="45">
        <f>IF(MIN(BZ42:BZ77)=9999,0,MIN(BZ42:BZ77))</f>
        <v>19.0</v>
      </c>
      <c r="C31" s="45">
        <f>IF(MIN(CA42:CA77)=9999,0,MIN(CA42:CA77))</f>
        <v>35.0</v>
      </c>
      <c r="D31" s="44">
        <f>-MIN(BY42:BY77)</f>
        <v>377326.2118021126</v>
      </c>
      <c r="E31" s="44">
        <f>SUM(BV66:BV77)</f>
        <v>991989.1786279595</v>
      </c>
      <c r="F31" s="44">
        <f>SUM(BX66:BX77)</f>
        <v>349100.2052110722</v>
      </c>
      <c r="G31" s="45">
        <f>BU77</f>
        <v>389.35306757873195</v>
      </c>
    </row>
    <row r="32">
      <c r="A32" s="14" t="inlineStr">
        <is>
          <t>Sem homologação · pior caso combinado</t>
        </is>
      </c>
      <c r="B32" s="45">
        <f>IF(MIN(CG42:CG77)=9999,0,MIN(CG42:CG77))</f>
        <v>33.0</v>
      </c>
      <c r="C32" s="45">
        <f>IF(MIN(CH42:CH77)=9999,0,MIN(CH42:CH77))</f>
        <v>0.0</v>
      </c>
      <c r="D32" s="44">
        <f>-MIN(CF42:CF77)</f>
        <v>500221.331564032</v>
      </c>
      <c r="E32" s="44">
        <f>SUM(CC66:CC77)</f>
        <v>499736.41786947974</v>
      </c>
      <c r="F32" s="44">
        <f>SUM(CE66:CE77)</f>
        <v>-42640.76440261764</v>
      </c>
      <c r="G32" s="45">
        <f>CB77</f>
        <v>192.81475076724064</v>
      </c>
    </row>
    <row r="34">
      <c r="A34" s="2" t="inlineStr">
        <is>
          <t>Zero em "1º mês positivo" ou "caixa volta a zero" significa que não acontece dentro dos 36 meses. A receita já está líquida de participação e de impostos.</t>
        </is>
      </c>
    </row>
    <row r="36" ht="58" customHeight="1">
      <c r="A36" s="73" t="inlineStr">
        <is>
          <t>AS DUAS LINHAS EM DESTAQUE SÃO A DECISÃO. Sem homologação: você vende loja a loja, a R$ 319, e chega a 65% da rede. Com homologação: a franqueadora torna o produto obrigatório como já fez com Trinks e Sults, cobra das lojas e repassa consolidado — adesão de 95%, preço único de R$ 299, CAC quase nulo, e 25% da receita fica com ela. Todas as outras linhas são sensibilidades em torno dessas duas.</t>
        </is>
      </c>
    </row>
    <row r="39">
      <c r="A39" s="5" t="inlineStr">
        <is>
          <t>GRADE DE CÁLCULO — 36 meses por cenário (pode ocultar estas linhas)</t>
        </is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  <c r="BJ39" s="6" t="n"/>
      <c r="BK39" s="6" t="n"/>
      <c r="BL39" s="6" t="n"/>
      <c r="BM39" s="6" t="n"/>
      <c r="BN39" s="6" t="n"/>
      <c r="BO39" s="6" t="n"/>
      <c r="BP39" s="6" t="n"/>
      <c r="BQ39" s="6" t="n"/>
      <c r="BR39" s="6" t="n"/>
      <c r="BS39" s="6" t="n"/>
      <c r="BT39" s="6" t="n"/>
      <c r="BU39" s="6" t="n"/>
      <c r="BV39" s="6" t="n"/>
      <c r="BW39" s="6" t="n"/>
      <c r="BX39" s="6" t="n"/>
      <c r="BY39" s="6" t="n"/>
      <c r="BZ39" s="6" t="n"/>
      <c r="CA39" s="6" t="n"/>
      <c r="CB39" s="6" t="n"/>
      <c r="CC39" s="6" t="n"/>
      <c r="CD39" s="6" t="n"/>
      <c r="CE39" s="6" t="n"/>
      <c r="CF39" s="6" t="n"/>
      <c r="CG39" s="6" t="n"/>
      <c r="CH39" s="6" t="n"/>
      <c r="CI39" s="6" t="n"/>
      <c r="CJ39" s="6" t="n"/>
      <c r="CK39" s="6" t="n"/>
      <c r="CL39" s="6" t="n"/>
    </row>
    <row r="40">
      <c r="A40" s="3" t="inlineStr">
        <is>
          <t>Mês</t>
        </is>
      </c>
      <c r="C40" s="74" t="inlineStr">
        <is>
          <t>1 · SEM homologação — venda loja a loja</t>
        </is>
      </c>
      <c r="D40" s="75" t="inlineStr">
        <is>
          <t>receita</t>
        </is>
      </c>
      <c r="E40" s="75" t="inlineStr">
        <is>
          <t>custos</t>
        </is>
      </c>
      <c r="F40" s="75" t="inlineStr">
        <is>
          <t>result.</t>
        </is>
      </c>
      <c r="G40" s="75" t="inlineStr">
        <is>
          <t>caixa</t>
        </is>
      </c>
      <c r="H40" s="75" t="inlineStr">
        <is>
          <t>aux+</t>
        </is>
      </c>
      <c r="I40" s="75" t="inlineStr">
        <is>
          <t>auxcx</t>
        </is>
      </c>
      <c r="J40" s="74" t="inlineStr">
        <is>
          <t>2 · COM homologação — obrigatório, participação 25%</t>
        </is>
      </c>
      <c r="K40" s="75" t="inlineStr">
        <is>
          <t>receita</t>
        </is>
      </c>
      <c r="L40" s="75" t="inlineStr">
        <is>
          <t>custos</t>
        </is>
      </c>
      <c r="M40" s="75" t="inlineStr">
        <is>
          <t>result.</t>
        </is>
      </c>
      <c r="N40" s="75" t="inlineStr">
        <is>
          <t>caixa</t>
        </is>
      </c>
      <c r="O40" s="75" t="inlineStr">
        <is>
          <t>aux+</t>
        </is>
      </c>
      <c r="P40" s="75" t="inlineStr">
        <is>
          <t>auxcx</t>
        </is>
      </c>
      <c r="Q40" s="74" t="inlineStr">
        <is>
          <t>Com homologação · sem participação</t>
        </is>
      </c>
      <c r="R40" s="75" t="inlineStr">
        <is>
          <t>receita</t>
        </is>
      </c>
      <c r="S40" s="75" t="inlineStr">
        <is>
          <t>custos</t>
        </is>
      </c>
      <c r="T40" s="75" t="inlineStr">
        <is>
          <t>result.</t>
        </is>
      </c>
      <c r="U40" s="75" t="inlineStr">
        <is>
          <t>caixa</t>
        </is>
      </c>
      <c r="V40" s="75" t="inlineStr">
        <is>
          <t>aux+</t>
        </is>
      </c>
      <c r="W40" s="75" t="inlineStr">
        <is>
          <t>auxcx</t>
        </is>
      </c>
      <c r="X40" s="74" t="inlineStr">
        <is>
          <t>Com homologação · participação 20%</t>
        </is>
      </c>
      <c r="Y40" s="75" t="inlineStr">
        <is>
          <t>receita</t>
        </is>
      </c>
      <c r="Z40" s="75" t="inlineStr">
        <is>
          <t>custos</t>
        </is>
      </c>
      <c r="AA40" s="75" t="inlineStr">
        <is>
          <t>result.</t>
        </is>
      </c>
      <c r="AB40" s="75" t="inlineStr">
        <is>
          <t>caixa</t>
        </is>
      </c>
      <c r="AC40" s="75" t="inlineStr">
        <is>
          <t>aux+</t>
        </is>
      </c>
      <c r="AD40" s="75" t="inlineStr">
        <is>
          <t>auxcx</t>
        </is>
      </c>
      <c r="AE40" s="74" t="inlineStr">
        <is>
          <t>Com homologação · participação 30%</t>
        </is>
      </c>
      <c r="AF40" s="75" t="inlineStr">
        <is>
          <t>receita</t>
        </is>
      </c>
      <c r="AG40" s="75" t="inlineStr">
        <is>
          <t>custos</t>
        </is>
      </c>
      <c r="AH40" s="75" t="inlineStr">
        <is>
          <t>result.</t>
        </is>
      </c>
      <c r="AI40" s="75" t="inlineStr">
        <is>
          <t>caixa</t>
        </is>
      </c>
      <c r="AJ40" s="75" t="inlineStr">
        <is>
          <t>aux+</t>
        </is>
      </c>
      <c r="AK40" s="75" t="inlineStr">
        <is>
          <t>auxcx</t>
        </is>
      </c>
      <c r="AL40" s="74" t="inlineStr">
        <is>
          <t>Com homologação · participação 40%</t>
        </is>
      </c>
      <c r="AM40" s="75" t="inlineStr">
        <is>
          <t>receita</t>
        </is>
      </c>
      <c r="AN40" s="75" t="inlineStr">
        <is>
          <t>custos</t>
        </is>
      </c>
      <c r="AO40" s="75" t="inlineStr">
        <is>
          <t>result.</t>
        </is>
      </c>
      <c r="AP40" s="75" t="inlineStr">
        <is>
          <t>caixa</t>
        </is>
      </c>
      <c r="AQ40" s="75" t="inlineStr">
        <is>
          <t>aux+</t>
        </is>
      </c>
      <c r="AR40" s="75" t="inlineStr">
        <is>
          <t>auxcx</t>
        </is>
      </c>
      <c r="AS40" s="74" t="inlineStr">
        <is>
          <t>Com homologação · preço R$ 249 · particip. 25%</t>
        </is>
      </c>
      <c r="AT40" s="75" t="inlineStr">
        <is>
          <t>receita</t>
        </is>
      </c>
      <c r="AU40" s="75" t="inlineStr">
        <is>
          <t>custos</t>
        </is>
      </c>
      <c r="AV40" s="75" t="inlineStr">
        <is>
          <t>result.</t>
        </is>
      </c>
      <c r="AW40" s="75" t="inlineStr">
        <is>
          <t>caixa</t>
        </is>
      </c>
      <c r="AX40" s="75" t="inlineStr">
        <is>
          <t>aux+</t>
        </is>
      </c>
      <c r="AY40" s="75" t="inlineStr">
        <is>
          <t>auxcx</t>
        </is>
      </c>
      <c r="AZ40" s="74" t="inlineStr">
        <is>
          <t>Com homologação · atraso de 6 meses</t>
        </is>
      </c>
      <c r="BA40" s="75" t="inlineStr">
        <is>
          <t>receita</t>
        </is>
      </c>
      <c r="BB40" s="75" t="inlineStr">
        <is>
          <t>custos</t>
        </is>
      </c>
      <c r="BC40" s="75" t="inlineStr">
        <is>
          <t>result.</t>
        </is>
      </c>
      <c r="BD40" s="75" t="inlineStr">
        <is>
          <t>caixa</t>
        </is>
      </c>
      <c r="BE40" s="75" t="inlineStr">
        <is>
          <t>aux+</t>
        </is>
      </c>
      <c r="BF40" s="75" t="inlineStr">
        <is>
          <t>auxcx</t>
        </is>
      </c>
      <c r="BG40" s="74" t="inlineStr">
        <is>
          <t>Com homologação · enxuta, sem pró-labore</t>
        </is>
      </c>
      <c r="BH40" s="75" t="inlineStr">
        <is>
          <t>receita</t>
        </is>
      </c>
      <c r="BI40" s="75" t="inlineStr">
        <is>
          <t>custos</t>
        </is>
      </c>
      <c r="BJ40" s="75" t="inlineStr">
        <is>
          <t>result.</t>
        </is>
      </c>
      <c r="BK40" s="75" t="inlineStr">
        <is>
          <t>caixa</t>
        </is>
      </c>
      <c r="BL40" s="75" t="inlineStr">
        <is>
          <t>aux+</t>
        </is>
      </c>
      <c r="BM40" s="75" t="inlineStr">
        <is>
          <t>auxcx</t>
        </is>
      </c>
      <c r="BN40" s="74" t="inlineStr">
        <is>
          <t>Sem homologação · adoção metade da rede</t>
        </is>
      </c>
      <c r="BO40" s="75" t="inlineStr">
        <is>
          <t>receita</t>
        </is>
      </c>
      <c r="BP40" s="75" t="inlineStr">
        <is>
          <t>custos</t>
        </is>
      </c>
      <c r="BQ40" s="75" t="inlineStr">
        <is>
          <t>result.</t>
        </is>
      </c>
      <c r="BR40" s="75" t="inlineStr">
        <is>
          <t>caixa</t>
        </is>
      </c>
      <c r="BS40" s="75" t="inlineStr">
        <is>
          <t>aux+</t>
        </is>
      </c>
      <c r="BT40" s="75" t="inlineStr">
        <is>
          <t>auxcx</t>
        </is>
      </c>
      <c r="BU40" s="74" t="inlineStr">
        <is>
          <t>Sem homologação · participação de 35%</t>
        </is>
      </c>
      <c r="BV40" s="75" t="inlineStr">
        <is>
          <t>receita</t>
        </is>
      </c>
      <c r="BW40" s="75" t="inlineStr">
        <is>
          <t>custos</t>
        </is>
      </c>
      <c r="BX40" s="75" t="inlineStr">
        <is>
          <t>result.</t>
        </is>
      </c>
      <c r="BY40" s="75" t="inlineStr">
        <is>
          <t>caixa</t>
        </is>
      </c>
      <c r="BZ40" s="75" t="inlineStr">
        <is>
          <t>aux+</t>
        </is>
      </c>
      <c r="CA40" s="75" t="inlineStr">
        <is>
          <t>auxcx</t>
        </is>
      </c>
      <c r="CB40" s="74" t="inlineStr">
        <is>
          <t>Sem homologação · pior caso combinado</t>
        </is>
      </c>
      <c r="CC40" s="75" t="inlineStr">
        <is>
          <t>receita</t>
        </is>
      </c>
      <c r="CD40" s="75" t="inlineStr">
        <is>
          <t>custos</t>
        </is>
      </c>
      <c r="CE40" s="75" t="inlineStr">
        <is>
          <t>result.</t>
        </is>
      </c>
      <c r="CF40" s="75" t="inlineStr">
        <is>
          <t>caixa</t>
        </is>
      </c>
      <c r="CG40" s="75" t="inlineStr">
        <is>
          <t>aux+</t>
        </is>
      </c>
      <c r="CH40" s="75" t="inlineStr">
        <is>
          <t>auxcx</t>
        </is>
      </c>
    </row>
    <row r="42">
      <c r="A42" s="14" t="n">
        <v>1</v>
      </c>
      <c r="C42" s="76">
        <f>IF($A42-$D$6&lt;Premissas!$B$41,0,$C$6*(Premissas!$B$39+(Premissas!$B$40-Premissas!$B$39)*$A42/36)/(1+EXP(-$K$6*($A42-$D$6-$I$6))))</f>
        <v>0.0</v>
      </c>
      <c r="D42" s="77">
        <f>(C42*$B$6+IF($A42&gt;=Premissas!$B$46+$D$6,$F$6,0))*(1-$E$6)*(1-Premissas!$B$60)</f>
        <v>0.0</v>
      </c>
      <c r="E42" s="77">
        <f>-(C42*$J$6+C42*$H$6+IF($A42-$D$6&lt;=2,Premissas!$B$49,IF($A42-$D$6&lt;=5,Premissas!$B$50,IF($A42-$D$6&lt;=8,Premissas!$B$51,$G$6)))+IF($A42=1+$D$6,Premissas!$B$55,IF($A42=3+$D$6,Premissas!$B$56,IF($A42=6+$D$6,Premissas!$B$57,0))))</f>
        <v>-13000.0</v>
      </c>
      <c r="F42" s="77">
        <f>D42+E42</f>
        <v>-13000.0</v>
      </c>
      <c r="G42" s="77">
        <f>F42</f>
        <v>-13000.0</v>
      </c>
      <c r="H42" s="78">
        <f>IF(F42&gt;0,$A42,9999)</f>
        <v>9999.0</v>
      </c>
      <c r="I42" s="78">
        <f>IF(G42&gt;0,$A42,9999)</f>
        <v>9999.0</v>
      </c>
      <c r="J42" s="76">
        <f>IF($A42-$D$7&lt;Premissas!$B$41,0,$C$7*(Premissas!$B$39+(Premissas!$B$40-Premissas!$B$39)*$A42/36)/(1+EXP(-$K$7*($A42-$D$7-$I$7))))</f>
        <v>0.0</v>
      </c>
      <c r="K42" s="77">
        <f>(J42*$B$7+IF($A42&gt;=Premissas!$B$46+$D$7,$F$7,0))*(1-$E$7)*(1-Premissas!$B$60)</f>
        <v>0.0</v>
      </c>
      <c r="L42" s="77">
        <f>-(J42*$J$7+J42*$H$7+IF($A42-$D$7&lt;=2,Premissas!$B$49,IF($A42-$D$7&lt;=5,Premissas!$B$50,IF($A42-$D$7&lt;=8,Premissas!$B$51,$G$7)))+IF($A42=1+$D$7,Premissas!$B$55,IF($A42=3+$D$7,Premissas!$B$56,IF($A42=6+$D$7,Premissas!$B$57,0))))</f>
        <v>-13000.0</v>
      </c>
      <c r="M42" s="77">
        <f>K42+L42</f>
        <v>-13000.0</v>
      </c>
      <c r="N42" s="77">
        <f>M42</f>
        <v>-13000.0</v>
      </c>
      <c r="O42" s="78">
        <f>IF(M42&gt;0,$A42,9999)</f>
        <v>9999.0</v>
      </c>
      <c r="P42" s="78">
        <f>IF(N42&gt;0,$A42,9999)</f>
        <v>9999.0</v>
      </c>
      <c r="Q42" s="76">
        <f>IF($A42-$D$8&lt;Premissas!$B$41,0,$C$8*(Premissas!$B$39+(Premissas!$B$40-Premissas!$B$39)*$A42/36)/(1+EXP(-$K$8*($A42-$D$8-$I$8))))</f>
        <v>0.0</v>
      </c>
      <c r="R42" s="77">
        <f>(Q42*$B$8+IF($A42&gt;=Premissas!$B$46+$D$8,$F$8,0))*(1-$E$8)*(1-Premissas!$B$60)</f>
        <v>0.0</v>
      </c>
      <c r="S42" s="77">
        <f>-(Q42*$J$8+Q42*$H$8+IF($A42-$D$8&lt;=2,Premissas!$B$49,IF($A42-$D$8&lt;=5,Premissas!$B$50,IF($A42-$D$8&lt;=8,Premissas!$B$51,$G$8)))+IF($A42=1+$D$8,Premissas!$B$55,IF($A42=3+$D$8,Premissas!$B$56,IF($A42=6+$D$8,Premissas!$B$57,0))))</f>
        <v>-13000.0</v>
      </c>
      <c r="T42" s="77">
        <f>R42+S42</f>
        <v>-13000.0</v>
      </c>
      <c r="U42" s="77">
        <f>T42</f>
        <v>-13000.0</v>
      </c>
      <c r="V42" s="78">
        <f>IF(T42&gt;0,$A42,9999)</f>
        <v>9999.0</v>
      </c>
      <c r="W42" s="78">
        <f>IF(U42&gt;0,$A42,9999)</f>
        <v>9999.0</v>
      </c>
      <c r="X42" s="76">
        <f>IF($A42-$D$9&lt;Premissas!$B$41,0,$C$9*(Premissas!$B$39+(Premissas!$B$40-Premissas!$B$39)*$A42/36)/(1+EXP(-$K$9*($A42-$D$9-$I$9))))</f>
        <v>0.0</v>
      </c>
      <c r="Y42" s="77">
        <f>(X42*$B$9+IF($A42&gt;=Premissas!$B$46+$D$9,$F$9,0))*(1-$E$9)*(1-Premissas!$B$60)</f>
        <v>0.0</v>
      </c>
      <c r="Z42" s="77">
        <f>-(X42*$J$9+X42*$H$9+IF($A42-$D$9&lt;=2,Premissas!$B$49,IF($A42-$D$9&lt;=5,Premissas!$B$50,IF($A42-$D$9&lt;=8,Premissas!$B$51,$G$9)))+IF($A42=1+$D$9,Premissas!$B$55,IF($A42=3+$D$9,Premissas!$B$56,IF($A42=6+$D$9,Premissas!$B$57,0))))</f>
        <v>-13000.0</v>
      </c>
      <c r="AA42" s="77">
        <f>Y42+Z42</f>
        <v>-13000.0</v>
      </c>
      <c r="AB42" s="77">
        <f>AA42</f>
        <v>-13000.0</v>
      </c>
      <c r="AC42" s="78">
        <f>IF(AA42&gt;0,$A42,9999)</f>
        <v>9999.0</v>
      </c>
      <c r="AD42" s="78">
        <f>IF(AB42&gt;0,$A42,9999)</f>
        <v>9999.0</v>
      </c>
      <c r="AE42" s="76">
        <f>IF($A42-$D$10&lt;Premissas!$B$41,0,$C$10*(Premissas!$B$39+(Premissas!$B$40-Premissas!$B$39)*$A42/36)/(1+EXP(-$K$10*($A42-$D$10-$I$10))))</f>
        <v>0.0</v>
      </c>
      <c r="AF42" s="77">
        <f>(AE42*$B$10+IF($A42&gt;=Premissas!$B$46+$D$10,$F$10,0))*(1-$E$10)*(1-Premissas!$B$60)</f>
        <v>0.0</v>
      </c>
      <c r="AG42" s="77">
        <f>-(AE42*$J$10+AE42*$H$10+IF($A42-$D$10&lt;=2,Premissas!$B$49,IF($A42-$D$10&lt;=5,Premissas!$B$50,IF($A42-$D$10&lt;=8,Premissas!$B$51,$G$10)))+IF($A42=1+$D$10,Premissas!$B$55,IF($A42=3+$D$10,Premissas!$B$56,IF($A42=6+$D$10,Premissas!$B$57,0))))</f>
        <v>-13000.0</v>
      </c>
      <c r="AH42" s="77">
        <f>AF42+AG42</f>
        <v>-13000.0</v>
      </c>
      <c r="AI42" s="77">
        <f>AH42</f>
        <v>-13000.0</v>
      </c>
      <c r="AJ42" s="78">
        <f>IF(AH42&gt;0,$A42,9999)</f>
        <v>9999.0</v>
      </c>
      <c r="AK42" s="78">
        <f>IF(AI42&gt;0,$A42,9999)</f>
        <v>9999.0</v>
      </c>
      <c r="AL42" s="76">
        <f>IF($A42-$D$11&lt;Premissas!$B$41,0,$C$11*(Premissas!$B$39+(Premissas!$B$40-Premissas!$B$39)*$A42/36)/(1+EXP(-$K$11*($A42-$D$11-$I$11))))</f>
        <v>0.0</v>
      </c>
      <c r="AM42" s="77">
        <f>(AL42*$B$11+IF($A42&gt;=Premissas!$B$46+$D$11,$F$11,0))*(1-$E$11)*(1-Premissas!$B$60)</f>
        <v>0.0</v>
      </c>
      <c r="AN42" s="77">
        <f>-(AL42*$J$11+AL42*$H$11+IF($A42-$D$11&lt;=2,Premissas!$B$49,IF($A42-$D$11&lt;=5,Premissas!$B$50,IF($A42-$D$11&lt;=8,Premissas!$B$51,$G$11)))+IF($A42=1+$D$11,Premissas!$B$55,IF($A42=3+$D$11,Premissas!$B$56,IF($A42=6+$D$11,Premissas!$B$57,0))))</f>
        <v>-13000.0</v>
      </c>
      <c r="AO42" s="77">
        <f>AM42+AN42</f>
        <v>-13000.0</v>
      </c>
      <c r="AP42" s="77">
        <f>AO42</f>
        <v>-13000.0</v>
      </c>
      <c r="AQ42" s="78">
        <f>IF(AO42&gt;0,$A42,9999)</f>
        <v>9999.0</v>
      </c>
      <c r="AR42" s="78">
        <f>IF(AP42&gt;0,$A42,9999)</f>
        <v>9999.0</v>
      </c>
      <c r="AS42" s="76">
        <f>IF($A42-$D$12&lt;Premissas!$B$41,0,$C$12*(Premissas!$B$39+(Premissas!$B$40-Premissas!$B$39)*$A42/36)/(1+EXP(-$K$12*($A42-$D$12-$I$12))))</f>
        <v>0.0</v>
      </c>
      <c r="AT42" s="77">
        <f>(AS42*$B$12+IF($A42&gt;=Premissas!$B$46+$D$12,$F$12,0))*(1-$E$12)*(1-Premissas!$B$60)</f>
        <v>0.0</v>
      </c>
      <c r="AU42" s="77">
        <f>-(AS42*$J$12+AS42*$H$12+IF($A42-$D$12&lt;=2,Premissas!$B$49,IF($A42-$D$12&lt;=5,Premissas!$B$50,IF($A42-$D$12&lt;=8,Premissas!$B$51,$G$12)))+IF($A42=1+$D$12,Premissas!$B$55,IF($A42=3+$D$12,Premissas!$B$56,IF($A42=6+$D$12,Premissas!$B$57,0))))</f>
        <v>-13000.0</v>
      </c>
      <c r="AV42" s="77">
        <f>AT42+AU42</f>
        <v>-13000.0</v>
      </c>
      <c r="AW42" s="77">
        <f>AV42</f>
        <v>-13000.0</v>
      </c>
      <c r="AX42" s="78">
        <f>IF(AV42&gt;0,$A42,9999)</f>
        <v>9999.0</v>
      </c>
      <c r="AY42" s="78">
        <f>IF(AW42&gt;0,$A42,9999)</f>
        <v>9999.0</v>
      </c>
      <c r="AZ42" s="76">
        <f>IF($A42-$D$13&lt;Premissas!$B$41,0,$C$13*(Premissas!$B$39+(Premissas!$B$40-Premissas!$B$39)*$A42/36)/(1+EXP(-$K$13*($A42-$D$13-$I$13))))</f>
        <v>0.0</v>
      </c>
      <c r="BA42" s="77">
        <f>(AZ42*$B$13+IF($A42&gt;=Premissas!$B$46+$D$13,$F$13,0))*(1-$E$13)*(1-Premissas!$B$60)</f>
        <v>0.0</v>
      </c>
      <c r="BB42" s="77">
        <f>-(AZ42*$J$13+AZ42*$H$13+IF($A42-$D$13&lt;=2,Premissas!$B$49,IF($A42-$D$13&lt;=5,Premissas!$B$50,IF($A42-$D$13&lt;=8,Premissas!$B$51,$G$13)))+IF($A42=1+$D$13,Premissas!$B$55,IF($A42=3+$D$13,Premissas!$B$56,IF($A42=6+$D$13,Premissas!$B$57,0))))</f>
        <v>-5000.0</v>
      </c>
      <c r="BC42" s="77">
        <f>BA42+BB42</f>
        <v>-5000.0</v>
      </c>
      <c r="BD42" s="77">
        <f>BC42</f>
        <v>-5000.0</v>
      </c>
      <c r="BE42" s="78">
        <f>IF(BC42&gt;0,$A42,9999)</f>
        <v>9999.0</v>
      </c>
      <c r="BF42" s="78">
        <f>IF(BD42&gt;0,$A42,9999)</f>
        <v>9999.0</v>
      </c>
      <c r="BG42" s="76">
        <f>IF($A42-$D$14&lt;Premissas!$B$41,0,$C$14*(Premissas!$B$39+(Premissas!$B$40-Premissas!$B$39)*$A42/36)/(1+EXP(-$K$14*($A42-$D$14-$I$14))))</f>
        <v>0.0</v>
      </c>
      <c r="BH42" s="77">
        <f>(BG42*$B$14+IF($A42&gt;=Premissas!$B$46+$D$14,$F$14,0))*(1-$E$14)*(1-Premissas!$B$60)</f>
        <v>0.0</v>
      </c>
      <c r="BI42" s="77">
        <f>-(BG42*$J$14+BG42*$H$14+IF($A42-$D$14&lt;=2,Premissas!$B$49,IF($A42-$D$14&lt;=5,Premissas!$B$50,IF($A42-$D$14&lt;=8,Premissas!$B$51,$G$14)))+IF($A42=1+$D$14,Premissas!$B$55,IF($A42=3+$D$14,Premissas!$B$56,IF($A42=6+$D$14,Premissas!$B$57,0))))</f>
        <v>-13000.0</v>
      </c>
      <c r="BJ42" s="77">
        <f>BH42+BI42</f>
        <v>-13000.0</v>
      </c>
      <c r="BK42" s="77">
        <f>BJ42</f>
        <v>-13000.0</v>
      </c>
      <c r="BL42" s="78">
        <f>IF(BJ42&gt;0,$A42,9999)</f>
        <v>9999.0</v>
      </c>
      <c r="BM42" s="78">
        <f>IF(BK42&gt;0,$A42,9999)</f>
        <v>9999.0</v>
      </c>
      <c r="BN42" s="76">
        <f>IF($A42-$D$15&lt;Premissas!$B$41,0,$C$15*(Premissas!$B$39+(Premissas!$B$40-Premissas!$B$39)*$A42/36)/(1+EXP(-$K$15*($A42-$D$15-$I$15))))</f>
        <v>0.0</v>
      </c>
      <c r="BO42" s="77">
        <f>(BN42*$B$15+IF($A42&gt;=Premissas!$B$46+$D$15,$F$15,0))*(1-$E$15)*(1-Premissas!$B$60)</f>
        <v>0.0</v>
      </c>
      <c r="BP42" s="77">
        <f>-(BN42*$J$15+BN42*$H$15+IF($A42-$D$15&lt;=2,Premissas!$B$49,IF($A42-$D$15&lt;=5,Premissas!$B$50,IF($A42-$D$15&lt;=8,Premissas!$B$51,$G$15)))+IF($A42=1+$D$15,Premissas!$B$55,IF($A42=3+$D$15,Premissas!$B$56,IF($A42=6+$D$15,Premissas!$B$57,0))))</f>
        <v>-13000.0</v>
      </c>
      <c r="BQ42" s="77">
        <f>BO42+BP42</f>
        <v>-13000.0</v>
      </c>
      <c r="BR42" s="77">
        <f>BQ42</f>
        <v>-13000.0</v>
      </c>
      <c r="BS42" s="78">
        <f>IF(BQ42&gt;0,$A42,9999)</f>
        <v>9999.0</v>
      </c>
      <c r="BT42" s="78">
        <f>IF(BR42&gt;0,$A42,9999)</f>
        <v>9999.0</v>
      </c>
      <c r="BU42" s="76">
        <f>IF($A42-$D$16&lt;Premissas!$B$41,0,$C$16*(Premissas!$B$39+(Premissas!$B$40-Premissas!$B$39)*$A42/36)/(1+EXP(-$K$16*($A42-$D$16-$I$16))))</f>
        <v>0.0</v>
      </c>
      <c r="BV42" s="77">
        <f>(BU42*$B$16+IF($A42&gt;=Premissas!$B$46+$D$16,$F$16,0))*(1-$E$16)*(1-Premissas!$B$60)</f>
        <v>0.0</v>
      </c>
      <c r="BW42" s="77">
        <f>-(BU42*$J$16+BU42*$H$16+IF($A42-$D$16&lt;=2,Premissas!$B$49,IF($A42-$D$16&lt;=5,Premissas!$B$50,IF($A42-$D$16&lt;=8,Premissas!$B$51,$G$16)))+IF($A42=1+$D$16,Premissas!$B$55,IF($A42=3+$D$16,Premissas!$B$56,IF($A42=6+$D$16,Premissas!$B$57,0))))</f>
        <v>-13000.0</v>
      </c>
      <c r="BX42" s="77">
        <f>BV42+BW42</f>
        <v>-13000.0</v>
      </c>
      <c r="BY42" s="77">
        <f>BX42</f>
        <v>-13000.0</v>
      </c>
      <c r="BZ42" s="78">
        <f>IF(BX42&gt;0,$A42,9999)</f>
        <v>9999.0</v>
      </c>
      <c r="CA42" s="78">
        <f>IF(BY42&gt;0,$A42,9999)</f>
        <v>9999.0</v>
      </c>
      <c r="CB42" s="76">
        <f>IF($A42-$D$17&lt;Premissas!$B$41,0,$C$17*(Premissas!$B$39+(Premissas!$B$40-Premissas!$B$39)*$A42/36)/(1+EXP(-$K$17*($A42-$D$17-$I$17))))</f>
        <v>0.0</v>
      </c>
      <c r="CC42" s="77">
        <f>(CB42*$B$17+IF($A42&gt;=Premissas!$B$46+$D$17,$F$17,0))*(1-$E$17)*(1-Premissas!$B$60)</f>
        <v>0.0</v>
      </c>
      <c r="CD42" s="77">
        <f>-(CB42*$J$17+CB42*$H$17+IF($A42-$D$17&lt;=2,Premissas!$B$49,IF($A42-$D$17&lt;=5,Premissas!$B$50,IF($A42-$D$17&lt;=8,Premissas!$B$51,$G$17)))+IF($A42=1+$D$17,Premissas!$B$55,IF($A42=3+$D$17,Premissas!$B$56,IF($A42=6+$D$17,Premissas!$B$57,0))))</f>
        <v>-5000.0</v>
      </c>
      <c r="CE42" s="77">
        <f>CC42+CD42</f>
        <v>-5000.0</v>
      </c>
      <c r="CF42" s="77">
        <f>CE42</f>
        <v>-5000.0</v>
      </c>
      <c r="CG42" s="78">
        <f>IF(CE42&gt;0,$A42,9999)</f>
        <v>9999.0</v>
      </c>
      <c r="CH42" s="78">
        <f>IF(CF42&gt;0,$A42,9999)</f>
        <v>9999.0</v>
      </c>
    </row>
    <row r="43">
      <c r="A43" s="14" t="n">
        <v>2</v>
      </c>
      <c r="C43" s="76">
        <f>IF($A43-$D$6&lt;Premissas!$B$41,0,$C$6*(Premissas!$B$39+(Premissas!$B$40-Premissas!$B$39)*$A43/36)/(1+EXP(-$K$6*($A43-$D$6-$I$6))))</f>
        <v>0.0</v>
      </c>
      <c r="D43" s="77">
        <f>(C43*$B$6+IF($A43&gt;=Premissas!$B$46+$D$6,$F$6,0))*(1-$E$6)*(1-Premissas!$B$60)</f>
        <v>0.0</v>
      </c>
      <c r="E43" s="77">
        <f>-(C43*$J$6+MAX(0,C43-C42)*$H$6+IF($A43-$D$6&lt;=2,Premissas!$B$49,IF($A43-$D$6&lt;=5,Premissas!$B$50,IF($A43-$D$6&lt;=8,Premissas!$B$51,$G$6)))+IF($A43=1+$D$6,Premissas!$B$55,IF($A43=3+$D$6,Premissas!$B$56,IF($A43=6+$D$6,Premissas!$B$57,0))))</f>
        <v>-5000.0</v>
      </c>
      <c r="F43" s="77">
        <f>D43+E43</f>
        <v>-5000.0</v>
      </c>
      <c r="G43" s="77">
        <f>G42+F43</f>
        <v>-18000.0</v>
      </c>
      <c r="H43" s="78">
        <f>IF(F43&gt;0,$A43,9999)</f>
        <v>9999.0</v>
      </c>
      <c r="I43" s="78">
        <f>IF(G43&gt;0,$A43,9999)</f>
        <v>9999.0</v>
      </c>
      <c r="J43" s="76">
        <f>IF($A43-$D$7&lt;Premissas!$B$41,0,$C$7*(Premissas!$B$39+(Premissas!$B$40-Premissas!$B$39)*$A43/36)/(1+EXP(-$K$7*($A43-$D$7-$I$7))))</f>
        <v>0.0</v>
      </c>
      <c r="K43" s="77">
        <f>(J43*$B$7+IF($A43&gt;=Premissas!$B$46+$D$7,$F$7,0))*(1-$E$7)*(1-Premissas!$B$60)</f>
        <v>0.0</v>
      </c>
      <c r="L43" s="77">
        <f>-(J43*$J$7+MAX(0,J43-J42)*$H$7+IF($A43-$D$7&lt;=2,Premissas!$B$49,IF($A43-$D$7&lt;=5,Premissas!$B$50,IF($A43-$D$7&lt;=8,Premissas!$B$51,$G$7)))+IF($A43=1+$D$7,Premissas!$B$55,IF($A43=3+$D$7,Premissas!$B$56,IF($A43=6+$D$7,Premissas!$B$57,0))))</f>
        <v>-5000.0</v>
      </c>
      <c r="M43" s="77">
        <f>K43+L43</f>
        <v>-5000.0</v>
      </c>
      <c r="N43" s="77">
        <f>N42+M43</f>
        <v>-18000.0</v>
      </c>
      <c r="O43" s="78">
        <f>IF(M43&gt;0,$A43,9999)</f>
        <v>9999.0</v>
      </c>
      <c r="P43" s="78">
        <f>IF(N43&gt;0,$A43,9999)</f>
        <v>9999.0</v>
      </c>
      <c r="Q43" s="76">
        <f>IF($A43-$D$8&lt;Premissas!$B$41,0,$C$8*(Premissas!$B$39+(Premissas!$B$40-Premissas!$B$39)*$A43/36)/(1+EXP(-$K$8*($A43-$D$8-$I$8))))</f>
        <v>0.0</v>
      </c>
      <c r="R43" s="77">
        <f>(Q43*$B$8+IF($A43&gt;=Premissas!$B$46+$D$8,$F$8,0))*(1-$E$8)*(1-Premissas!$B$60)</f>
        <v>0.0</v>
      </c>
      <c r="S43" s="77">
        <f>-(Q43*$J$8+MAX(0,Q43-Q42)*$H$8+IF($A43-$D$8&lt;=2,Premissas!$B$49,IF($A43-$D$8&lt;=5,Premissas!$B$50,IF($A43-$D$8&lt;=8,Premissas!$B$51,$G$8)))+IF($A43=1+$D$8,Premissas!$B$55,IF($A43=3+$D$8,Premissas!$B$56,IF($A43=6+$D$8,Premissas!$B$57,0))))</f>
        <v>-5000.0</v>
      </c>
      <c r="T43" s="77">
        <f>R43+S43</f>
        <v>-5000.0</v>
      </c>
      <c r="U43" s="77">
        <f>U42+T43</f>
        <v>-18000.0</v>
      </c>
      <c r="V43" s="78">
        <f>IF(T43&gt;0,$A43,9999)</f>
        <v>9999.0</v>
      </c>
      <c r="W43" s="78">
        <f>IF(U43&gt;0,$A43,9999)</f>
        <v>9999.0</v>
      </c>
      <c r="X43" s="76">
        <f>IF($A43-$D$9&lt;Premissas!$B$41,0,$C$9*(Premissas!$B$39+(Premissas!$B$40-Premissas!$B$39)*$A43/36)/(1+EXP(-$K$9*($A43-$D$9-$I$9))))</f>
        <v>0.0</v>
      </c>
      <c r="Y43" s="77">
        <f>(X43*$B$9+IF($A43&gt;=Premissas!$B$46+$D$9,$F$9,0))*(1-$E$9)*(1-Premissas!$B$60)</f>
        <v>0.0</v>
      </c>
      <c r="Z43" s="77">
        <f>-(X43*$J$9+MAX(0,X43-X42)*$H$9+IF($A43-$D$9&lt;=2,Premissas!$B$49,IF($A43-$D$9&lt;=5,Premissas!$B$50,IF($A43-$D$9&lt;=8,Premissas!$B$51,$G$9)))+IF($A43=1+$D$9,Premissas!$B$55,IF($A43=3+$D$9,Premissas!$B$56,IF($A43=6+$D$9,Premissas!$B$57,0))))</f>
        <v>-5000.0</v>
      </c>
      <c r="AA43" s="77">
        <f>Y43+Z43</f>
        <v>-5000.0</v>
      </c>
      <c r="AB43" s="77">
        <f>AB42+AA43</f>
        <v>-18000.0</v>
      </c>
      <c r="AC43" s="78">
        <f>IF(AA43&gt;0,$A43,9999)</f>
        <v>9999.0</v>
      </c>
      <c r="AD43" s="78">
        <f>IF(AB43&gt;0,$A43,9999)</f>
        <v>9999.0</v>
      </c>
      <c r="AE43" s="76">
        <f>IF($A43-$D$10&lt;Premissas!$B$41,0,$C$10*(Premissas!$B$39+(Premissas!$B$40-Premissas!$B$39)*$A43/36)/(1+EXP(-$K$10*($A43-$D$10-$I$10))))</f>
        <v>0.0</v>
      </c>
      <c r="AF43" s="77">
        <f>(AE43*$B$10+IF($A43&gt;=Premissas!$B$46+$D$10,$F$10,0))*(1-$E$10)*(1-Premissas!$B$60)</f>
        <v>0.0</v>
      </c>
      <c r="AG43" s="77">
        <f>-(AE43*$J$10+MAX(0,AE43-AE42)*$H$10+IF($A43-$D$10&lt;=2,Premissas!$B$49,IF($A43-$D$10&lt;=5,Premissas!$B$50,IF($A43-$D$10&lt;=8,Premissas!$B$51,$G$10)))+IF($A43=1+$D$10,Premissas!$B$55,IF($A43=3+$D$10,Premissas!$B$56,IF($A43=6+$D$10,Premissas!$B$57,0))))</f>
        <v>-5000.0</v>
      </c>
      <c r="AH43" s="77">
        <f>AF43+AG43</f>
        <v>-5000.0</v>
      </c>
      <c r="AI43" s="77">
        <f>AI42+AH43</f>
        <v>-18000.0</v>
      </c>
      <c r="AJ43" s="78">
        <f>IF(AH43&gt;0,$A43,9999)</f>
        <v>9999.0</v>
      </c>
      <c r="AK43" s="78">
        <f>IF(AI43&gt;0,$A43,9999)</f>
        <v>9999.0</v>
      </c>
      <c r="AL43" s="76">
        <f>IF($A43-$D$11&lt;Premissas!$B$41,0,$C$11*(Premissas!$B$39+(Premissas!$B$40-Premissas!$B$39)*$A43/36)/(1+EXP(-$K$11*($A43-$D$11-$I$11))))</f>
        <v>0.0</v>
      </c>
      <c r="AM43" s="77">
        <f>(AL43*$B$11+IF($A43&gt;=Premissas!$B$46+$D$11,$F$11,0))*(1-$E$11)*(1-Premissas!$B$60)</f>
        <v>0.0</v>
      </c>
      <c r="AN43" s="77">
        <f>-(AL43*$J$11+MAX(0,AL43-AL42)*$H$11+IF($A43-$D$11&lt;=2,Premissas!$B$49,IF($A43-$D$11&lt;=5,Premissas!$B$50,IF($A43-$D$11&lt;=8,Premissas!$B$51,$G$11)))+IF($A43=1+$D$11,Premissas!$B$55,IF($A43=3+$D$11,Premissas!$B$56,IF($A43=6+$D$11,Premissas!$B$57,0))))</f>
        <v>-5000.0</v>
      </c>
      <c r="AO43" s="77">
        <f>AM43+AN43</f>
        <v>-5000.0</v>
      </c>
      <c r="AP43" s="77">
        <f>AP42+AO43</f>
        <v>-18000.0</v>
      </c>
      <c r="AQ43" s="78">
        <f>IF(AO43&gt;0,$A43,9999)</f>
        <v>9999.0</v>
      </c>
      <c r="AR43" s="78">
        <f>IF(AP43&gt;0,$A43,9999)</f>
        <v>9999.0</v>
      </c>
      <c r="AS43" s="76">
        <f>IF($A43-$D$12&lt;Premissas!$B$41,0,$C$12*(Premissas!$B$39+(Premissas!$B$40-Premissas!$B$39)*$A43/36)/(1+EXP(-$K$12*($A43-$D$12-$I$12))))</f>
        <v>0.0</v>
      </c>
      <c r="AT43" s="77">
        <f>(AS43*$B$12+IF($A43&gt;=Premissas!$B$46+$D$12,$F$12,0))*(1-$E$12)*(1-Premissas!$B$60)</f>
        <v>0.0</v>
      </c>
      <c r="AU43" s="77">
        <f>-(AS43*$J$12+MAX(0,AS43-AS42)*$H$12+IF($A43-$D$12&lt;=2,Premissas!$B$49,IF($A43-$D$12&lt;=5,Premissas!$B$50,IF($A43-$D$12&lt;=8,Premissas!$B$51,$G$12)))+IF($A43=1+$D$12,Premissas!$B$55,IF($A43=3+$D$12,Premissas!$B$56,IF($A43=6+$D$12,Premissas!$B$57,0))))</f>
        <v>-5000.0</v>
      </c>
      <c r="AV43" s="77">
        <f>AT43+AU43</f>
        <v>-5000.0</v>
      </c>
      <c r="AW43" s="77">
        <f>AW42+AV43</f>
        <v>-18000.0</v>
      </c>
      <c r="AX43" s="78">
        <f>IF(AV43&gt;0,$A43,9999)</f>
        <v>9999.0</v>
      </c>
      <c r="AY43" s="78">
        <f>IF(AW43&gt;0,$A43,9999)</f>
        <v>9999.0</v>
      </c>
      <c r="AZ43" s="76">
        <f>IF($A43-$D$13&lt;Premissas!$B$41,0,$C$13*(Premissas!$B$39+(Premissas!$B$40-Premissas!$B$39)*$A43/36)/(1+EXP(-$K$13*($A43-$D$13-$I$13))))</f>
        <v>0.0</v>
      </c>
      <c r="BA43" s="77">
        <f>(AZ43*$B$13+IF($A43&gt;=Premissas!$B$46+$D$13,$F$13,0))*(1-$E$13)*(1-Premissas!$B$60)</f>
        <v>0.0</v>
      </c>
      <c r="BB43" s="77">
        <f>-(AZ43*$J$13+MAX(0,AZ43-AZ42)*$H$13+IF($A43-$D$13&lt;=2,Premissas!$B$49,IF($A43-$D$13&lt;=5,Premissas!$B$50,IF($A43-$D$13&lt;=8,Premissas!$B$51,$G$13)))+IF($A43=1+$D$13,Premissas!$B$55,IF($A43=3+$D$13,Premissas!$B$56,IF($A43=6+$D$13,Premissas!$B$57,0))))</f>
        <v>-5000.0</v>
      </c>
      <c r="BC43" s="77">
        <f>BA43+BB43</f>
        <v>-5000.0</v>
      </c>
      <c r="BD43" s="77">
        <f>BD42+BC43</f>
        <v>-10000.0</v>
      </c>
      <c r="BE43" s="78">
        <f>IF(BC43&gt;0,$A43,9999)</f>
        <v>9999.0</v>
      </c>
      <c r="BF43" s="78">
        <f>IF(BD43&gt;0,$A43,9999)</f>
        <v>9999.0</v>
      </c>
      <c r="BG43" s="76">
        <f>IF($A43-$D$14&lt;Premissas!$B$41,0,$C$14*(Premissas!$B$39+(Premissas!$B$40-Premissas!$B$39)*$A43/36)/(1+EXP(-$K$14*($A43-$D$14-$I$14))))</f>
        <v>0.0</v>
      </c>
      <c r="BH43" s="77">
        <f>(BG43*$B$14+IF($A43&gt;=Premissas!$B$46+$D$14,$F$14,0))*(1-$E$14)*(1-Premissas!$B$60)</f>
        <v>0.0</v>
      </c>
      <c r="BI43" s="77">
        <f>-(BG43*$J$14+MAX(0,BG43-BG42)*$H$14+IF($A43-$D$14&lt;=2,Premissas!$B$49,IF($A43-$D$14&lt;=5,Premissas!$B$50,IF($A43-$D$14&lt;=8,Premissas!$B$51,$G$14)))+IF($A43=1+$D$14,Premissas!$B$55,IF($A43=3+$D$14,Premissas!$B$56,IF($A43=6+$D$14,Premissas!$B$57,0))))</f>
        <v>-5000.0</v>
      </c>
      <c r="BJ43" s="77">
        <f>BH43+BI43</f>
        <v>-5000.0</v>
      </c>
      <c r="BK43" s="77">
        <f>BK42+BJ43</f>
        <v>-18000.0</v>
      </c>
      <c r="BL43" s="78">
        <f>IF(BJ43&gt;0,$A43,9999)</f>
        <v>9999.0</v>
      </c>
      <c r="BM43" s="78">
        <f>IF(BK43&gt;0,$A43,9999)</f>
        <v>9999.0</v>
      </c>
      <c r="BN43" s="76">
        <f>IF($A43-$D$15&lt;Premissas!$B$41,0,$C$15*(Premissas!$B$39+(Premissas!$B$40-Premissas!$B$39)*$A43/36)/(1+EXP(-$K$15*($A43-$D$15-$I$15))))</f>
        <v>0.0</v>
      </c>
      <c r="BO43" s="77">
        <f>(BN43*$B$15+IF($A43&gt;=Premissas!$B$46+$D$15,$F$15,0))*(1-$E$15)*(1-Premissas!$B$60)</f>
        <v>0.0</v>
      </c>
      <c r="BP43" s="77">
        <f>-(BN43*$J$15+MAX(0,BN43-BN42)*$H$15+IF($A43-$D$15&lt;=2,Premissas!$B$49,IF($A43-$D$15&lt;=5,Premissas!$B$50,IF($A43-$D$15&lt;=8,Premissas!$B$51,$G$15)))+IF($A43=1+$D$15,Premissas!$B$55,IF($A43=3+$D$15,Premissas!$B$56,IF($A43=6+$D$15,Premissas!$B$57,0))))</f>
        <v>-5000.0</v>
      </c>
      <c r="BQ43" s="77">
        <f>BO43+BP43</f>
        <v>-5000.0</v>
      </c>
      <c r="BR43" s="77">
        <f>BR42+BQ43</f>
        <v>-18000.0</v>
      </c>
      <c r="BS43" s="78">
        <f>IF(BQ43&gt;0,$A43,9999)</f>
        <v>9999.0</v>
      </c>
      <c r="BT43" s="78">
        <f>IF(BR43&gt;0,$A43,9999)</f>
        <v>9999.0</v>
      </c>
      <c r="BU43" s="76">
        <f>IF($A43-$D$16&lt;Premissas!$B$41,0,$C$16*(Premissas!$B$39+(Premissas!$B$40-Premissas!$B$39)*$A43/36)/(1+EXP(-$K$16*($A43-$D$16-$I$16))))</f>
        <v>0.0</v>
      </c>
      <c r="BV43" s="77">
        <f>(BU43*$B$16+IF($A43&gt;=Premissas!$B$46+$D$16,$F$16,0))*(1-$E$16)*(1-Premissas!$B$60)</f>
        <v>0.0</v>
      </c>
      <c r="BW43" s="77">
        <f>-(BU43*$J$16+MAX(0,BU43-BU42)*$H$16+IF($A43-$D$16&lt;=2,Premissas!$B$49,IF($A43-$D$16&lt;=5,Premissas!$B$50,IF($A43-$D$16&lt;=8,Premissas!$B$51,$G$16)))+IF($A43=1+$D$16,Premissas!$B$55,IF($A43=3+$D$16,Premissas!$B$56,IF($A43=6+$D$16,Premissas!$B$57,0))))</f>
        <v>-5000.0</v>
      </c>
      <c r="BX43" s="77">
        <f>BV43+BW43</f>
        <v>-5000.0</v>
      </c>
      <c r="BY43" s="77">
        <f>BY42+BX43</f>
        <v>-18000.0</v>
      </c>
      <c r="BZ43" s="78">
        <f>IF(BX43&gt;0,$A43,9999)</f>
        <v>9999.0</v>
      </c>
      <c r="CA43" s="78">
        <f>IF(BY43&gt;0,$A43,9999)</f>
        <v>9999.0</v>
      </c>
      <c r="CB43" s="76">
        <f>IF($A43-$D$17&lt;Premissas!$B$41,0,$C$17*(Premissas!$B$39+(Premissas!$B$40-Premissas!$B$39)*$A43/36)/(1+EXP(-$K$17*($A43-$D$17-$I$17))))</f>
        <v>0.0</v>
      </c>
      <c r="CC43" s="77">
        <f>(CB43*$B$17+IF($A43&gt;=Premissas!$B$46+$D$17,$F$17,0))*(1-$E$17)*(1-Premissas!$B$60)</f>
        <v>0.0</v>
      </c>
      <c r="CD43" s="77">
        <f>-(CB43*$J$17+MAX(0,CB43-CB42)*$H$17+IF($A43-$D$17&lt;=2,Premissas!$B$49,IF($A43-$D$17&lt;=5,Premissas!$B$50,IF($A43-$D$17&lt;=8,Premissas!$B$51,$G$17)))+IF($A43=1+$D$17,Premissas!$B$55,IF($A43=3+$D$17,Premissas!$B$56,IF($A43=6+$D$17,Premissas!$B$57,0))))</f>
        <v>-5000.0</v>
      </c>
      <c r="CE43" s="77">
        <f>CC43+CD43</f>
        <v>-5000.0</v>
      </c>
      <c r="CF43" s="77">
        <f>CF42+CE43</f>
        <v>-10000.0</v>
      </c>
      <c r="CG43" s="78">
        <f>IF(CE43&gt;0,$A43,9999)</f>
        <v>9999.0</v>
      </c>
      <c r="CH43" s="78">
        <f>IF(CF43&gt;0,$A43,9999)</f>
        <v>9999.0</v>
      </c>
    </row>
    <row r="44">
      <c r="A44" s="14" t="n">
        <v>3</v>
      </c>
      <c r="C44" s="76">
        <f>IF($A44-$D$6&lt;Premissas!$B$41,0,$C$6*(Premissas!$B$39+(Premissas!$B$40-Premissas!$B$39)*$A44/36)/(1+EXP(-$K$6*($A44-$D$6-$I$6))))</f>
        <v>0.0</v>
      </c>
      <c r="D44" s="77">
        <f>(C44*$B$6+IF($A44&gt;=Premissas!$B$46+$D$6,$F$6,0))*(1-$E$6)*(1-Premissas!$B$60)</f>
        <v>0.0</v>
      </c>
      <c r="E44" s="77">
        <f>-(C44*$J$6+MAX(0,C44-C43)*$H$6+IF($A44-$D$6&lt;=2,Premissas!$B$49,IF($A44-$D$6&lt;=5,Premissas!$B$50,IF($A44-$D$6&lt;=8,Premissas!$B$51,$G$6)))+IF($A44=1+$D$6,Premissas!$B$55,IF($A44=3+$D$6,Premissas!$B$56,IF($A44=6+$D$6,Premissas!$B$57,0))))</f>
        <v>-34000.0</v>
      </c>
      <c r="F44" s="77">
        <f>D44+E44</f>
        <v>-34000.0</v>
      </c>
      <c r="G44" s="77">
        <f>G43+F44</f>
        <v>-52000.0</v>
      </c>
      <c r="H44" s="78">
        <f>IF(F44&gt;0,$A44,9999)</f>
        <v>9999.0</v>
      </c>
      <c r="I44" s="78">
        <f>IF(G44&gt;0,$A44,9999)</f>
        <v>9999.0</v>
      </c>
      <c r="J44" s="76">
        <f>IF($A44-$D$7&lt;Premissas!$B$41,0,$C$7*(Premissas!$B$39+(Premissas!$B$40-Premissas!$B$39)*$A44/36)/(1+EXP(-$K$7*($A44-$D$7-$I$7))))</f>
        <v>0.0</v>
      </c>
      <c r="K44" s="77">
        <f>(J44*$B$7+IF($A44&gt;=Premissas!$B$46+$D$7,$F$7,0))*(1-$E$7)*(1-Premissas!$B$60)</f>
        <v>0.0</v>
      </c>
      <c r="L44" s="77">
        <f>-(J44*$J$7+MAX(0,J44-J43)*$H$7+IF($A44-$D$7&lt;=2,Premissas!$B$49,IF($A44-$D$7&lt;=5,Premissas!$B$50,IF($A44-$D$7&lt;=8,Premissas!$B$51,$G$7)))+IF($A44=1+$D$7,Premissas!$B$55,IF($A44=3+$D$7,Premissas!$B$56,IF($A44=6+$D$7,Premissas!$B$57,0))))</f>
        <v>-34000.0</v>
      </c>
      <c r="M44" s="77">
        <f>K44+L44</f>
        <v>-34000.0</v>
      </c>
      <c r="N44" s="77">
        <f>N43+M44</f>
        <v>-52000.0</v>
      </c>
      <c r="O44" s="78">
        <f>IF(M44&gt;0,$A44,9999)</f>
        <v>9999.0</v>
      </c>
      <c r="P44" s="78">
        <f>IF(N44&gt;0,$A44,9999)</f>
        <v>9999.0</v>
      </c>
      <c r="Q44" s="76">
        <f>IF($A44-$D$8&lt;Premissas!$B$41,0,$C$8*(Premissas!$B$39+(Premissas!$B$40-Premissas!$B$39)*$A44/36)/(1+EXP(-$K$8*($A44-$D$8-$I$8))))</f>
        <v>0.0</v>
      </c>
      <c r="R44" s="77">
        <f>(Q44*$B$8+IF($A44&gt;=Premissas!$B$46+$D$8,$F$8,0))*(1-$E$8)*(1-Premissas!$B$60)</f>
        <v>0.0</v>
      </c>
      <c r="S44" s="77">
        <f>-(Q44*$J$8+MAX(0,Q44-Q43)*$H$8+IF($A44-$D$8&lt;=2,Premissas!$B$49,IF($A44-$D$8&lt;=5,Premissas!$B$50,IF($A44-$D$8&lt;=8,Premissas!$B$51,$G$8)))+IF($A44=1+$D$8,Premissas!$B$55,IF($A44=3+$D$8,Premissas!$B$56,IF($A44=6+$D$8,Premissas!$B$57,0))))</f>
        <v>-34000.0</v>
      </c>
      <c r="T44" s="77">
        <f>R44+S44</f>
        <v>-34000.0</v>
      </c>
      <c r="U44" s="77">
        <f>U43+T44</f>
        <v>-52000.0</v>
      </c>
      <c r="V44" s="78">
        <f>IF(T44&gt;0,$A44,9999)</f>
        <v>9999.0</v>
      </c>
      <c r="W44" s="78">
        <f>IF(U44&gt;0,$A44,9999)</f>
        <v>9999.0</v>
      </c>
      <c r="X44" s="76">
        <f>IF($A44-$D$9&lt;Premissas!$B$41,0,$C$9*(Premissas!$B$39+(Premissas!$B$40-Premissas!$B$39)*$A44/36)/(1+EXP(-$K$9*($A44-$D$9-$I$9))))</f>
        <v>0.0</v>
      </c>
      <c r="Y44" s="77">
        <f>(X44*$B$9+IF($A44&gt;=Premissas!$B$46+$D$9,$F$9,0))*(1-$E$9)*(1-Premissas!$B$60)</f>
        <v>0.0</v>
      </c>
      <c r="Z44" s="77">
        <f>-(X44*$J$9+MAX(0,X44-X43)*$H$9+IF($A44-$D$9&lt;=2,Premissas!$B$49,IF($A44-$D$9&lt;=5,Premissas!$B$50,IF($A44-$D$9&lt;=8,Premissas!$B$51,$G$9)))+IF($A44=1+$D$9,Premissas!$B$55,IF($A44=3+$D$9,Premissas!$B$56,IF($A44=6+$D$9,Premissas!$B$57,0))))</f>
        <v>-34000.0</v>
      </c>
      <c r="AA44" s="77">
        <f>Y44+Z44</f>
        <v>-34000.0</v>
      </c>
      <c r="AB44" s="77">
        <f>AB43+AA44</f>
        <v>-52000.0</v>
      </c>
      <c r="AC44" s="78">
        <f>IF(AA44&gt;0,$A44,9999)</f>
        <v>9999.0</v>
      </c>
      <c r="AD44" s="78">
        <f>IF(AB44&gt;0,$A44,9999)</f>
        <v>9999.0</v>
      </c>
      <c r="AE44" s="76">
        <f>IF($A44-$D$10&lt;Premissas!$B$41,0,$C$10*(Premissas!$B$39+(Premissas!$B$40-Premissas!$B$39)*$A44/36)/(1+EXP(-$K$10*($A44-$D$10-$I$10))))</f>
        <v>0.0</v>
      </c>
      <c r="AF44" s="77">
        <f>(AE44*$B$10+IF($A44&gt;=Premissas!$B$46+$D$10,$F$10,0))*(1-$E$10)*(1-Premissas!$B$60)</f>
        <v>0.0</v>
      </c>
      <c r="AG44" s="77">
        <f>-(AE44*$J$10+MAX(0,AE44-AE43)*$H$10+IF($A44-$D$10&lt;=2,Premissas!$B$49,IF($A44-$D$10&lt;=5,Premissas!$B$50,IF($A44-$D$10&lt;=8,Premissas!$B$51,$G$10)))+IF($A44=1+$D$10,Premissas!$B$55,IF($A44=3+$D$10,Premissas!$B$56,IF($A44=6+$D$10,Premissas!$B$57,0))))</f>
        <v>-34000.0</v>
      </c>
      <c r="AH44" s="77">
        <f>AF44+AG44</f>
        <v>-34000.0</v>
      </c>
      <c r="AI44" s="77">
        <f>AI43+AH44</f>
        <v>-52000.0</v>
      </c>
      <c r="AJ44" s="78">
        <f>IF(AH44&gt;0,$A44,9999)</f>
        <v>9999.0</v>
      </c>
      <c r="AK44" s="78">
        <f>IF(AI44&gt;0,$A44,9999)</f>
        <v>9999.0</v>
      </c>
      <c r="AL44" s="76">
        <f>IF($A44-$D$11&lt;Premissas!$B$41,0,$C$11*(Premissas!$B$39+(Premissas!$B$40-Premissas!$B$39)*$A44/36)/(1+EXP(-$K$11*($A44-$D$11-$I$11))))</f>
        <v>0.0</v>
      </c>
      <c r="AM44" s="77">
        <f>(AL44*$B$11+IF($A44&gt;=Premissas!$B$46+$D$11,$F$11,0))*(1-$E$11)*(1-Premissas!$B$60)</f>
        <v>0.0</v>
      </c>
      <c r="AN44" s="77">
        <f>-(AL44*$J$11+MAX(0,AL44-AL43)*$H$11+IF($A44-$D$11&lt;=2,Premissas!$B$49,IF($A44-$D$11&lt;=5,Premissas!$B$50,IF($A44-$D$11&lt;=8,Premissas!$B$51,$G$11)))+IF($A44=1+$D$11,Premissas!$B$55,IF($A44=3+$D$11,Premissas!$B$56,IF($A44=6+$D$11,Premissas!$B$57,0))))</f>
        <v>-34000.0</v>
      </c>
      <c r="AO44" s="77">
        <f>AM44+AN44</f>
        <v>-34000.0</v>
      </c>
      <c r="AP44" s="77">
        <f>AP43+AO44</f>
        <v>-52000.0</v>
      </c>
      <c r="AQ44" s="78">
        <f>IF(AO44&gt;0,$A44,9999)</f>
        <v>9999.0</v>
      </c>
      <c r="AR44" s="78">
        <f>IF(AP44&gt;0,$A44,9999)</f>
        <v>9999.0</v>
      </c>
      <c r="AS44" s="76">
        <f>IF($A44-$D$12&lt;Premissas!$B$41,0,$C$12*(Premissas!$B$39+(Premissas!$B$40-Premissas!$B$39)*$A44/36)/(1+EXP(-$K$12*($A44-$D$12-$I$12))))</f>
        <v>0.0</v>
      </c>
      <c r="AT44" s="77">
        <f>(AS44*$B$12+IF($A44&gt;=Premissas!$B$46+$D$12,$F$12,0))*(1-$E$12)*(1-Premissas!$B$60)</f>
        <v>0.0</v>
      </c>
      <c r="AU44" s="77">
        <f>-(AS44*$J$12+MAX(0,AS44-AS43)*$H$12+IF($A44-$D$12&lt;=2,Premissas!$B$49,IF($A44-$D$12&lt;=5,Premissas!$B$50,IF($A44-$D$12&lt;=8,Premissas!$B$51,$G$12)))+IF($A44=1+$D$12,Premissas!$B$55,IF($A44=3+$D$12,Premissas!$B$56,IF($A44=6+$D$12,Premissas!$B$57,0))))</f>
        <v>-34000.0</v>
      </c>
      <c r="AV44" s="77">
        <f>AT44+AU44</f>
        <v>-34000.0</v>
      </c>
      <c r="AW44" s="77">
        <f>AW43+AV44</f>
        <v>-52000.0</v>
      </c>
      <c r="AX44" s="78">
        <f>IF(AV44&gt;0,$A44,9999)</f>
        <v>9999.0</v>
      </c>
      <c r="AY44" s="78">
        <f>IF(AW44&gt;0,$A44,9999)</f>
        <v>9999.0</v>
      </c>
      <c r="AZ44" s="76">
        <f>IF($A44-$D$13&lt;Premissas!$B$41,0,$C$13*(Premissas!$B$39+(Premissas!$B$40-Premissas!$B$39)*$A44/36)/(1+EXP(-$K$13*($A44-$D$13-$I$13))))</f>
        <v>0.0</v>
      </c>
      <c r="BA44" s="77">
        <f>(AZ44*$B$13+IF($A44&gt;=Premissas!$B$46+$D$13,$F$13,0))*(1-$E$13)*(1-Premissas!$B$60)</f>
        <v>0.0</v>
      </c>
      <c r="BB44" s="77">
        <f>-(AZ44*$J$13+MAX(0,AZ44-AZ43)*$H$13+IF($A44-$D$13&lt;=2,Premissas!$B$49,IF($A44-$D$13&lt;=5,Premissas!$B$50,IF($A44-$D$13&lt;=8,Premissas!$B$51,$G$13)))+IF($A44=1+$D$13,Premissas!$B$55,IF($A44=3+$D$13,Premissas!$B$56,IF($A44=6+$D$13,Premissas!$B$57,0))))</f>
        <v>-5000.0</v>
      </c>
      <c r="BC44" s="77">
        <f>BA44+BB44</f>
        <v>-5000.0</v>
      </c>
      <c r="BD44" s="77">
        <f>BD43+BC44</f>
        <v>-15000.0</v>
      </c>
      <c r="BE44" s="78">
        <f>IF(BC44&gt;0,$A44,9999)</f>
        <v>9999.0</v>
      </c>
      <c r="BF44" s="78">
        <f>IF(BD44&gt;0,$A44,9999)</f>
        <v>9999.0</v>
      </c>
      <c r="BG44" s="76">
        <f>IF($A44-$D$14&lt;Premissas!$B$41,0,$C$14*(Premissas!$B$39+(Premissas!$B$40-Premissas!$B$39)*$A44/36)/(1+EXP(-$K$14*($A44-$D$14-$I$14))))</f>
        <v>0.0</v>
      </c>
      <c r="BH44" s="77">
        <f>(BG44*$B$14+IF($A44&gt;=Premissas!$B$46+$D$14,$F$14,0))*(1-$E$14)*(1-Premissas!$B$60)</f>
        <v>0.0</v>
      </c>
      <c r="BI44" s="77">
        <f>-(BG44*$J$14+MAX(0,BG44-BG43)*$H$14+IF($A44-$D$14&lt;=2,Premissas!$B$49,IF($A44-$D$14&lt;=5,Premissas!$B$50,IF($A44-$D$14&lt;=8,Premissas!$B$51,$G$14)))+IF($A44=1+$D$14,Premissas!$B$55,IF($A44=3+$D$14,Premissas!$B$56,IF($A44=6+$D$14,Premissas!$B$57,0))))</f>
        <v>-34000.0</v>
      </c>
      <c r="BJ44" s="77">
        <f>BH44+BI44</f>
        <v>-34000.0</v>
      </c>
      <c r="BK44" s="77">
        <f>BK43+BJ44</f>
        <v>-52000.0</v>
      </c>
      <c r="BL44" s="78">
        <f>IF(BJ44&gt;0,$A44,9999)</f>
        <v>9999.0</v>
      </c>
      <c r="BM44" s="78">
        <f>IF(BK44&gt;0,$A44,9999)</f>
        <v>9999.0</v>
      </c>
      <c r="BN44" s="76">
        <f>IF($A44-$D$15&lt;Premissas!$B$41,0,$C$15*(Premissas!$B$39+(Premissas!$B$40-Premissas!$B$39)*$A44/36)/(1+EXP(-$K$15*($A44-$D$15-$I$15))))</f>
        <v>0.0</v>
      </c>
      <c r="BO44" s="77">
        <f>(BN44*$B$15+IF($A44&gt;=Premissas!$B$46+$D$15,$F$15,0))*(1-$E$15)*(1-Premissas!$B$60)</f>
        <v>0.0</v>
      </c>
      <c r="BP44" s="77">
        <f>-(BN44*$J$15+MAX(0,BN44-BN43)*$H$15+IF($A44-$D$15&lt;=2,Premissas!$B$49,IF($A44-$D$15&lt;=5,Premissas!$B$50,IF($A44-$D$15&lt;=8,Premissas!$B$51,$G$15)))+IF($A44=1+$D$15,Premissas!$B$55,IF($A44=3+$D$15,Premissas!$B$56,IF($A44=6+$D$15,Premissas!$B$57,0))))</f>
        <v>-34000.0</v>
      </c>
      <c r="BQ44" s="77">
        <f>BO44+BP44</f>
        <v>-34000.0</v>
      </c>
      <c r="BR44" s="77">
        <f>BR43+BQ44</f>
        <v>-52000.0</v>
      </c>
      <c r="BS44" s="78">
        <f>IF(BQ44&gt;0,$A44,9999)</f>
        <v>9999.0</v>
      </c>
      <c r="BT44" s="78">
        <f>IF(BR44&gt;0,$A44,9999)</f>
        <v>9999.0</v>
      </c>
      <c r="BU44" s="76">
        <f>IF($A44-$D$16&lt;Premissas!$B$41,0,$C$16*(Premissas!$B$39+(Premissas!$B$40-Premissas!$B$39)*$A44/36)/(1+EXP(-$K$16*($A44-$D$16-$I$16))))</f>
        <v>0.0</v>
      </c>
      <c r="BV44" s="77">
        <f>(BU44*$B$16+IF($A44&gt;=Premissas!$B$46+$D$16,$F$16,0))*(1-$E$16)*(1-Premissas!$B$60)</f>
        <v>0.0</v>
      </c>
      <c r="BW44" s="77">
        <f>-(BU44*$J$16+MAX(0,BU44-BU43)*$H$16+IF($A44-$D$16&lt;=2,Premissas!$B$49,IF($A44-$D$16&lt;=5,Premissas!$B$50,IF($A44-$D$16&lt;=8,Premissas!$B$51,$G$16)))+IF($A44=1+$D$16,Premissas!$B$55,IF($A44=3+$D$16,Premissas!$B$56,IF($A44=6+$D$16,Premissas!$B$57,0))))</f>
        <v>-34000.0</v>
      </c>
      <c r="BX44" s="77">
        <f>BV44+BW44</f>
        <v>-34000.0</v>
      </c>
      <c r="BY44" s="77">
        <f>BY43+BX44</f>
        <v>-52000.0</v>
      </c>
      <c r="BZ44" s="78">
        <f>IF(BX44&gt;0,$A44,9999)</f>
        <v>9999.0</v>
      </c>
      <c r="CA44" s="78">
        <f>IF(BY44&gt;0,$A44,9999)</f>
        <v>9999.0</v>
      </c>
      <c r="CB44" s="76">
        <f>IF($A44-$D$17&lt;Premissas!$B$41,0,$C$17*(Premissas!$B$39+(Premissas!$B$40-Premissas!$B$39)*$A44/36)/(1+EXP(-$K$17*($A44-$D$17-$I$17))))</f>
        <v>0.0</v>
      </c>
      <c r="CC44" s="77">
        <f>(CB44*$B$17+IF($A44&gt;=Premissas!$B$46+$D$17,$F$17,0))*(1-$E$17)*(1-Premissas!$B$60)</f>
        <v>0.0</v>
      </c>
      <c r="CD44" s="77">
        <f>-(CB44*$J$17+MAX(0,CB44-CB43)*$H$17+IF($A44-$D$17&lt;=2,Premissas!$B$49,IF($A44-$D$17&lt;=5,Premissas!$B$50,IF($A44-$D$17&lt;=8,Premissas!$B$51,$G$17)))+IF($A44=1+$D$17,Premissas!$B$55,IF($A44=3+$D$17,Premissas!$B$56,IF($A44=6+$D$17,Premissas!$B$57,0))))</f>
        <v>-5000.0</v>
      </c>
      <c r="CE44" s="77">
        <f>CC44+CD44</f>
        <v>-5000.0</v>
      </c>
      <c r="CF44" s="77">
        <f>CF43+CE44</f>
        <v>-15000.0</v>
      </c>
      <c r="CG44" s="78">
        <f>IF(CE44&gt;0,$A44,9999)</f>
        <v>9999.0</v>
      </c>
      <c r="CH44" s="78">
        <f>IF(CF44&gt;0,$A44,9999)</f>
        <v>9999.0</v>
      </c>
    </row>
    <row r="45">
      <c r="A45" s="14" t="n">
        <v>4</v>
      </c>
      <c r="C45" s="76">
        <f>IF($A45-$D$6&lt;Premissas!$B$41,0,$C$6*(Premissas!$B$39+(Premissas!$B$40-Premissas!$B$39)*$A45/36)/(1+EXP(-$K$6*($A45-$D$6-$I$6))))</f>
        <v>0.0</v>
      </c>
      <c r="D45" s="77">
        <f>(C45*$B$6+IF($A45&gt;=Premissas!$B$46+$D$6,$F$6,0))*(1-$E$6)*(1-Premissas!$B$60)</f>
        <v>0.0</v>
      </c>
      <c r="E45" s="77">
        <f>-(C45*$J$6+MAX(0,C45-C44)*$H$6+IF($A45-$D$6&lt;=2,Premissas!$B$49,IF($A45-$D$6&lt;=5,Premissas!$B$50,IF($A45-$D$6&lt;=8,Premissas!$B$51,$G$6)))+IF($A45=1+$D$6,Premissas!$B$55,IF($A45=3+$D$6,Premissas!$B$56,IF($A45=6+$D$6,Premissas!$B$57,0))))</f>
        <v>-22000.0</v>
      </c>
      <c r="F45" s="77">
        <f>D45+E45</f>
        <v>-22000.0</v>
      </c>
      <c r="G45" s="77">
        <f>G44+F45</f>
        <v>-74000.0</v>
      </c>
      <c r="H45" s="78">
        <f>IF(F45&gt;0,$A45,9999)</f>
        <v>9999.0</v>
      </c>
      <c r="I45" s="78">
        <f>IF(G45&gt;0,$A45,9999)</f>
        <v>9999.0</v>
      </c>
      <c r="J45" s="76">
        <f>IF($A45-$D$7&lt;Premissas!$B$41,0,$C$7*(Premissas!$B$39+(Premissas!$B$40-Premissas!$B$39)*$A45/36)/(1+EXP(-$K$7*($A45-$D$7-$I$7))))</f>
        <v>0.0</v>
      </c>
      <c r="K45" s="77">
        <f>(J45*$B$7+IF($A45&gt;=Premissas!$B$46+$D$7,$F$7,0))*(1-$E$7)*(1-Premissas!$B$60)</f>
        <v>0.0</v>
      </c>
      <c r="L45" s="77">
        <f>-(J45*$J$7+MAX(0,J45-J44)*$H$7+IF($A45-$D$7&lt;=2,Premissas!$B$49,IF($A45-$D$7&lt;=5,Premissas!$B$50,IF($A45-$D$7&lt;=8,Premissas!$B$51,$G$7)))+IF($A45=1+$D$7,Premissas!$B$55,IF($A45=3+$D$7,Premissas!$B$56,IF($A45=6+$D$7,Premissas!$B$57,0))))</f>
        <v>-22000.0</v>
      </c>
      <c r="M45" s="77">
        <f>K45+L45</f>
        <v>-22000.0</v>
      </c>
      <c r="N45" s="77">
        <f>N44+M45</f>
        <v>-74000.0</v>
      </c>
      <c r="O45" s="78">
        <f>IF(M45&gt;0,$A45,9999)</f>
        <v>9999.0</v>
      </c>
      <c r="P45" s="78">
        <f>IF(N45&gt;0,$A45,9999)</f>
        <v>9999.0</v>
      </c>
      <c r="Q45" s="76">
        <f>IF($A45-$D$8&lt;Premissas!$B$41,0,$C$8*(Premissas!$B$39+(Premissas!$B$40-Premissas!$B$39)*$A45/36)/(1+EXP(-$K$8*($A45-$D$8-$I$8))))</f>
        <v>0.0</v>
      </c>
      <c r="R45" s="77">
        <f>(Q45*$B$8+IF($A45&gt;=Premissas!$B$46+$D$8,$F$8,0))*(1-$E$8)*(1-Premissas!$B$60)</f>
        <v>0.0</v>
      </c>
      <c r="S45" s="77">
        <f>-(Q45*$J$8+MAX(0,Q45-Q44)*$H$8+IF($A45-$D$8&lt;=2,Premissas!$B$49,IF($A45-$D$8&lt;=5,Premissas!$B$50,IF($A45-$D$8&lt;=8,Premissas!$B$51,$G$8)))+IF($A45=1+$D$8,Premissas!$B$55,IF($A45=3+$D$8,Premissas!$B$56,IF($A45=6+$D$8,Premissas!$B$57,0))))</f>
        <v>-22000.0</v>
      </c>
      <c r="T45" s="77">
        <f>R45+S45</f>
        <v>-22000.0</v>
      </c>
      <c r="U45" s="77">
        <f>U44+T45</f>
        <v>-74000.0</v>
      </c>
      <c r="V45" s="78">
        <f>IF(T45&gt;0,$A45,9999)</f>
        <v>9999.0</v>
      </c>
      <c r="W45" s="78">
        <f>IF(U45&gt;0,$A45,9999)</f>
        <v>9999.0</v>
      </c>
      <c r="X45" s="76">
        <f>IF($A45-$D$9&lt;Premissas!$B$41,0,$C$9*(Premissas!$B$39+(Premissas!$B$40-Premissas!$B$39)*$A45/36)/(1+EXP(-$K$9*($A45-$D$9-$I$9))))</f>
        <v>0.0</v>
      </c>
      <c r="Y45" s="77">
        <f>(X45*$B$9+IF($A45&gt;=Premissas!$B$46+$D$9,$F$9,0))*(1-$E$9)*(1-Premissas!$B$60)</f>
        <v>0.0</v>
      </c>
      <c r="Z45" s="77">
        <f>-(X45*$J$9+MAX(0,X45-X44)*$H$9+IF($A45-$D$9&lt;=2,Premissas!$B$49,IF($A45-$D$9&lt;=5,Premissas!$B$50,IF($A45-$D$9&lt;=8,Premissas!$B$51,$G$9)))+IF($A45=1+$D$9,Premissas!$B$55,IF($A45=3+$D$9,Premissas!$B$56,IF($A45=6+$D$9,Premissas!$B$57,0))))</f>
        <v>-22000.0</v>
      </c>
      <c r="AA45" s="77">
        <f>Y45+Z45</f>
        <v>-22000.0</v>
      </c>
      <c r="AB45" s="77">
        <f>AB44+AA45</f>
        <v>-74000.0</v>
      </c>
      <c r="AC45" s="78">
        <f>IF(AA45&gt;0,$A45,9999)</f>
        <v>9999.0</v>
      </c>
      <c r="AD45" s="78">
        <f>IF(AB45&gt;0,$A45,9999)</f>
        <v>9999.0</v>
      </c>
      <c r="AE45" s="76">
        <f>IF($A45-$D$10&lt;Premissas!$B$41,0,$C$10*(Premissas!$B$39+(Premissas!$B$40-Premissas!$B$39)*$A45/36)/(1+EXP(-$K$10*($A45-$D$10-$I$10))))</f>
        <v>0.0</v>
      </c>
      <c r="AF45" s="77">
        <f>(AE45*$B$10+IF($A45&gt;=Premissas!$B$46+$D$10,$F$10,0))*(1-$E$10)*(1-Premissas!$B$60)</f>
        <v>0.0</v>
      </c>
      <c r="AG45" s="77">
        <f>-(AE45*$J$10+MAX(0,AE45-AE44)*$H$10+IF($A45-$D$10&lt;=2,Premissas!$B$49,IF($A45-$D$10&lt;=5,Premissas!$B$50,IF($A45-$D$10&lt;=8,Premissas!$B$51,$G$10)))+IF($A45=1+$D$10,Premissas!$B$55,IF($A45=3+$D$10,Premissas!$B$56,IF($A45=6+$D$10,Premissas!$B$57,0))))</f>
        <v>-22000.0</v>
      </c>
      <c r="AH45" s="77">
        <f>AF45+AG45</f>
        <v>-22000.0</v>
      </c>
      <c r="AI45" s="77">
        <f>AI44+AH45</f>
        <v>-74000.0</v>
      </c>
      <c r="AJ45" s="78">
        <f>IF(AH45&gt;0,$A45,9999)</f>
        <v>9999.0</v>
      </c>
      <c r="AK45" s="78">
        <f>IF(AI45&gt;0,$A45,9999)</f>
        <v>9999.0</v>
      </c>
      <c r="AL45" s="76">
        <f>IF($A45-$D$11&lt;Premissas!$B$41,0,$C$11*(Premissas!$B$39+(Premissas!$B$40-Premissas!$B$39)*$A45/36)/(1+EXP(-$K$11*($A45-$D$11-$I$11))))</f>
        <v>0.0</v>
      </c>
      <c r="AM45" s="77">
        <f>(AL45*$B$11+IF($A45&gt;=Premissas!$B$46+$D$11,$F$11,0))*(1-$E$11)*(1-Premissas!$B$60)</f>
        <v>0.0</v>
      </c>
      <c r="AN45" s="77">
        <f>-(AL45*$J$11+MAX(0,AL45-AL44)*$H$11+IF($A45-$D$11&lt;=2,Premissas!$B$49,IF($A45-$D$11&lt;=5,Premissas!$B$50,IF($A45-$D$11&lt;=8,Premissas!$B$51,$G$11)))+IF($A45=1+$D$11,Premissas!$B$55,IF($A45=3+$D$11,Premissas!$B$56,IF($A45=6+$D$11,Premissas!$B$57,0))))</f>
        <v>-22000.0</v>
      </c>
      <c r="AO45" s="77">
        <f>AM45+AN45</f>
        <v>-22000.0</v>
      </c>
      <c r="AP45" s="77">
        <f>AP44+AO45</f>
        <v>-74000.0</v>
      </c>
      <c r="AQ45" s="78">
        <f>IF(AO45&gt;0,$A45,9999)</f>
        <v>9999.0</v>
      </c>
      <c r="AR45" s="78">
        <f>IF(AP45&gt;0,$A45,9999)</f>
        <v>9999.0</v>
      </c>
      <c r="AS45" s="76">
        <f>IF($A45-$D$12&lt;Premissas!$B$41,0,$C$12*(Premissas!$B$39+(Premissas!$B$40-Premissas!$B$39)*$A45/36)/(1+EXP(-$K$12*($A45-$D$12-$I$12))))</f>
        <v>0.0</v>
      </c>
      <c r="AT45" s="77">
        <f>(AS45*$B$12+IF($A45&gt;=Premissas!$B$46+$D$12,$F$12,0))*(1-$E$12)*(1-Premissas!$B$60)</f>
        <v>0.0</v>
      </c>
      <c r="AU45" s="77">
        <f>-(AS45*$J$12+MAX(0,AS45-AS44)*$H$12+IF($A45-$D$12&lt;=2,Premissas!$B$49,IF($A45-$D$12&lt;=5,Premissas!$B$50,IF($A45-$D$12&lt;=8,Premissas!$B$51,$G$12)))+IF($A45=1+$D$12,Premissas!$B$55,IF($A45=3+$D$12,Premissas!$B$56,IF($A45=6+$D$12,Premissas!$B$57,0))))</f>
        <v>-22000.0</v>
      </c>
      <c r="AV45" s="77">
        <f>AT45+AU45</f>
        <v>-22000.0</v>
      </c>
      <c r="AW45" s="77">
        <f>AW44+AV45</f>
        <v>-74000.0</v>
      </c>
      <c r="AX45" s="78">
        <f>IF(AV45&gt;0,$A45,9999)</f>
        <v>9999.0</v>
      </c>
      <c r="AY45" s="78">
        <f>IF(AW45&gt;0,$A45,9999)</f>
        <v>9999.0</v>
      </c>
      <c r="AZ45" s="76">
        <f>IF($A45-$D$13&lt;Premissas!$B$41,0,$C$13*(Premissas!$B$39+(Premissas!$B$40-Premissas!$B$39)*$A45/36)/(1+EXP(-$K$13*($A45-$D$13-$I$13))))</f>
        <v>0.0</v>
      </c>
      <c r="BA45" s="77">
        <f>(AZ45*$B$13+IF($A45&gt;=Premissas!$B$46+$D$13,$F$13,0))*(1-$E$13)*(1-Premissas!$B$60)</f>
        <v>0.0</v>
      </c>
      <c r="BB45" s="77">
        <f>-(AZ45*$J$13+MAX(0,AZ45-AZ44)*$H$13+IF($A45-$D$13&lt;=2,Premissas!$B$49,IF($A45-$D$13&lt;=5,Premissas!$B$50,IF($A45-$D$13&lt;=8,Premissas!$B$51,$G$13)))+IF($A45=1+$D$13,Premissas!$B$55,IF($A45=3+$D$13,Premissas!$B$56,IF($A45=6+$D$13,Premissas!$B$57,0))))</f>
        <v>-5000.0</v>
      </c>
      <c r="BC45" s="77">
        <f>BA45+BB45</f>
        <v>-5000.0</v>
      </c>
      <c r="BD45" s="77">
        <f>BD44+BC45</f>
        <v>-20000.0</v>
      </c>
      <c r="BE45" s="78">
        <f>IF(BC45&gt;0,$A45,9999)</f>
        <v>9999.0</v>
      </c>
      <c r="BF45" s="78">
        <f>IF(BD45&gt;0,$A45,9999)</f>
        <v>9999.0</v>
      </c>
      <c r="BG45" s="76">
        <f>IF($A45-$D$14&lt;Premissas!$B$41,0,$C$14*(Premissas!$B$39+(Premissas!$B$40-Premissas!$B$39)*$A45/36)/(1+EXP(-$K$14*($A45-$D$14-$I$14))))</f>
        <v>0.0</v>
      </c>
      <c r="BH45" s="77">
        <f>(BG45*$B$14+IF($A45&gt;=Premissas!$B$46+$D$14,$F$14,0))*(1-$E$14)*(1-Premissas!$B$60)</f>
        <v>0.0</v>
      </c>
      <c r="BI45" s="77">
        <f>-(BG45*$J$14+MAX(0,BG45-BG44)*$H$14+IF($A45-$D$14&lt;=2,Premissas!$B$49,IF($A45-$D$14&lt;=5,Premissas!$B$50,IF($A45-$D$14&lt;=8,Premissas!$B$51,$G$14)))+IF($A45=1+$D$14,Premissas!$B$55,IF($A45=3+$D$14,Premissas!$B$56,IF($A45=6+$D$14,Premissas!$B$57,0))))</f>
        <v>-22000.0</v>
      </c>
      <c r="BJ45" s="77">
        <f>BH45+BI45</f>
        <v>-22000.0</v>
      </c>
      <c r="BK45" s="77">
        <f>BK44+BJ45</f>
        <v>-74000.0</v>
      </c>
      <c r="BL45" s="78">
        <f>IF(BJ45&gt;0,$A45,9999)</f>
        <v>9999.0</v>
      </c>
      <c r="BM45" s="78">
        <f>IF(BK45&gt;0,$A45,9999)</f>
        <v>9999.0</v>
      </c>
      <c r="BN45" s="76">
        <f>IF($A45-$D$15&lt;Premissas!$B$41,0,$C$15*(Premissas!$B$39+(Premissas!$B$40-Premissas!$B$39)*$A45/36)/(1+EXP(-$K$15*($A45-$D$15-$I$15))))</f>
        <v>0.0</v>
      </c>
      <c r="BO45" s="77">
        <f>(BN45*$B$15+IF($A45&gt;=Premissas!$B$46+$D$15,$F$15,0))*(1-$E$15)*(1-Premissas!$B$60)</f>
        <v>0.0</v>
      </c>
      <c r="BP45" s="77">
        <f>-(BN45*$J$15+MAX(0,BN45-BN44)*$H$15+IF($A45-$D$15&lt;=2,Premissas!$B$49,IF($A45-$D$15&lt;=5,Premissas!$B$50,IF($A45-$D$15&lt;=8,Premissas!$B$51,$G$15)))+IF($A45=1+$D$15,Premissas!$B$55,IF($A45=3+$D$15,Premissas!$B$56,IF($A45=6+$D$15,Premissas!$B$57,0))))</f>
        <v>-22000.0</v>
      </c>
      <c r="BQ45" s="77">
        <f>BO45+BP45</f>
        <v>-22000.0</v>
      </c>
      <c r="BR45" s="77">
        <f>BR44+BQ45</f>
        <v>-74000.0</v>
      </c>
      <c r="BS45" s="78">
        <f>IF(BQ45&gt;0,$A45,9999)</f>
        <v>9999.0</v>
      </c>
      <c r="BT45" s="78">
        <f>IF(BR45&gt;0,$A45,9999)</f>
        <v>9999.0</v>
      </c>
      <c r="BU45" s="76">
        <f>IF($A45-$D$16&lt;Premissas!$B$41,0,$C$16*(Premissas!$B$39+(Premissas!$B$40-Premissas!$B$39)*$A45/36)/(1+EXP(-$K$16*($A45-$D$16-$I$16))))</f>
        <v>0.0</v>
      </c>
      <c r="BV45" s="77">
        <f>(BU45*$B$16+IF($A45&gt;=Premissas!$B$46+$D$16,$F$16,0))*(1-$E$16)*(1-Premissas!$B$60)</f>
        <v>0.0</v>
      </c>
      <c r="BW45" s="77">
        <f>-(BU45*$J$16+MAX(0,BU45-BU44)*$H$16+IF($A45-$D$16&lt;=2,Premissas!$B$49,IF($A45-$D$16&lt;=5,Premissas!$B$50,IF($A45-$D$16&lt;=8,Premissas!$B$51,$G$16)))+IF($A45=1+$D$16,Premissas!$B$55,IF($A45=3+$D$16,Premissas!$B$56,IF($A45=6+$D$16,Premissas!$B$57,0))))</f>
        <v>-22000.0</v>
      </c>
      <c r="BX45" s="77">
        <f>BV45+BW45</f>
        <v>-22000.0</v>
      </c>
      <c r="BY45" s="77">
        <f>BY44+BX45</f>
        <v>-74000.0</v>
      </c>
      <c r="BZ45" s="78">
        <f>IF(BX45&gt;0,$A45,9999)</f>
        <v>9999.0</v>
      </c>
      <c r="CA45" s="78">
        <f>IF(BY45&gt;0,$A45,9999)</f>
        <v>9999.0</v>
      </c>
      <c r="CB45" s="76">
        <f>IF($A45-$D$17&lt;Premissas!$B$41,0,$C$17*(Premissas!$B$39+(Premissas!$B$40-Premissas!$B$39)*$A45/36)/(1+EXP(-$K$17*($A45-$D$17-$I$17))))</f>
        <v>0.0</v>
      </c>
      <c r="CC45" s="77">
        <f>(CB45*$B$17+IF($A45&gt;=Premissas!$B$46+$D$17,$F$17,0))*(1-$E$17)*(1-Premissas!$B$60)</f>
        <v>0.0</v>
      </c>
      <c r="CD45" s="77">
        <f>-(CB45*$J$17+MAX(0,CB45-CB44)*$H$17+IF($A45-$D$17&lt;=2,Premissas!$B$49,IF($A45-$D$17&lt;=5,Premissas!$B$50,IF($A45-$D$17&lt;=8,Premissas!$B$51,$G$17)))+IF($A45=1+$D$17,Premissas!$B$55,IF($A45=3+$D$17,Premissas!$B$56,IF($A45=6+$D$17,Premissas!$B$57,0))))</f>
        <v>-5000.0</v>
      </c>
      <c r="CE45" s="77">
        <f>CC45+CD45</f>
        <v>-5000.0</v>
      </c>
      <c r="CF45" s="77">
        <f>CF44+CE45</f>
        <v>-20000.0</v>
      </c>
      <c r="CG45" s="78">
        <f>IF(CE45&gt;0,$A45,9999)</f>
        <v>9999.0</v>
      </c>
      <c r="CH45" s="78">
        <f>IF(CF45&gt;0,$A45,9999)</f>
        <v>9999.0</v>
      </c>
    </row>
    <row r="46">
      <c r="A46" s="14" t="n">
        <v>5</v>
      </c>
      <c r="C46" s="76">
        <f>IF($A46-$D$6&lt;Premissas!$B$41,0,$C$6*(Premissas!$B$39+(Premissas!$B$40-Premissas!$B$39)*$A46/36)/(1+EXP(-$K$6*($A46-$D$6-$I$6))))</f>
        <v>0.0</v>
      </c>
      <c r="D46" s="77">
        <f>(C46*$B$6+IF($A46&gt;=Premissas!$B$46+$D$6,$F$6,0))*(1-$E$6)*(1-Premissas!$B$60)</f>
        <v>0.0</v>
      </c>
      <c r="E46" s="77">
        <f>-(C46*$J$6+MAX(0,C46-C45)*$H$6+IF($A46-$D$6&lt;=2,Premissas!$B$49,IF($A46-$D$6&lt;=5,Premissas!$B$50,IF($A46-$D$6&lt;=8,Premissas!$B$51,$G$6)))+IF($A46=1+$D$6,Premissas!$B$55,IF($A46=3+$D$6,Premissas!$B$56,IF($A46=6+$D$6,Premissas!$B$57,0))))</f>
        <v>-22000.0</v>
      </c>
      <c r="F46" s="77">
        <f>D46+E46</f>
        <v>-22000.0</v>
      </c>
      <c r="G46" s="77">
        <f>G45+F46</f>
        <v>-96000.0</v>
      </c>
      <c r="H46" s="78">
        <f>IF(F46&gt;0,$A46,9999)</f>
        <v>9999.0</v>
      </c>
      <c r="I46" s="78">
        <f>IF(G46&gt;0,$A46,9999)</f>
        <v>9999.0</v>
      </c>
      <c r="J46" s="76">
        <f>IF($A46-$D$7&lt;Premissas!$B$41,0,$C$7*(Premissas!$B$39+(Premissas!$B$40-Premissas!$B$39)*$A46/36)/(1+EXP(-$K$7*($A46-$D$7-$I$7))))</f>
        <v>0.0</v>
      </c>
      <c r="K46" s="77">
        <f>(J46*$B$7+IF($A46&gt;=Premissas!$B$46+$D$7,$F$7,0))*(1-$E$7)*(1-Premissas!$B$60)</f>
        <v>0.0</v>
      </c>
      <c r="L46" s="77">
        <f>-(J46*$J$7+MAX(0,J46-J45)*$H$7+IF($A46-$D$7&lt;=2,Premissas!$B$49,IF($A46-$D$7&lt;=5,Premissas!$B$50,IF($A46-$D$7&lt;=8,Premissas!$B$51,$G$7)))+IF($A46=1+$D$7,Premissas!$B$55,IF($A46=3+$D$7,Premissas!$B$56,IF($A46=6+$D$7,Premissas!$B$57,0))))</f>
        <v>-22000.0</v>
      </c>
      <c r="M46" s="77">
        <f>K46+L46</f>
        <v>-22000.0</v>
      </c>
      <c r="N46" s="77">
        <f>N45+M46</f>
        <v>-96000.0</v>
      </c>
      <c r="O46" s="78">
        <f>IF(M46&gt;0,$A46,9999)</f>
        <v>9999.0</v>
      </c>
      <c r="P46" s="78">
        <f>IF(N46&gt;0,$A46,9999)</f>
        <v>9999.0</v>
      </c>
      <c r="Q46" s="76">
        <f>IF($A46-$D$8&lt;Premissas!$B$41,0,$C$8*(Premissas!$B$39+(Premissas!$B$40-Premissas!$B$39)*$A46/36)/(1+EXP(-$K$8*($A46-$D$8-$I$8))))</f>
        <v>0.0</v>
      </c>
      <c r="R46" s="77">
        <f>(Q46*$B$8+IF($A46&gt;=Premissas!$B$46+$D$8,$F$8,0))*(1-$E$8)*(1-Premissas!$B$60)</f>
        <v>0.0</v>
      </c>
      <c r="S46" s="77">
        <f>-(Q46*$J$8+MAX(0,Q46-Q45)*$H$8+IF($A46-$D$8&lt;=2,Premissas!$B$49,IF($A46-$D$8&lt;=5,Premissas!$B$50,IF($A46-$D$8&lt;=8,Premissas!$B$51,$G$8)))+IF($A46=1+$D$8,Premissas!$B$55,IF($A46=3+$D$8,Premissas!$B$56,IF($A46=6+$D$8,Premissas!$B$57,0))))</f>
        <v>-22000.0</v>
      </c>
      <c r="T46" s="77">
        <f>R46+S46</f>
        <v>-22000.0</v>
      </c>
      <c r="U46" s="77">
        <f>U45+T46</f>
        <v>-96000.0</v>
      </c>
      <c r="V46" s="78">
        <f>IF(T46&gt;0,$A46,9999)</f>
        <v>9999.0</v>
      </c>
      <c r="W46" s="78">
        <f>IF(U46&gt;0,$A46,9999)</f>
        <v>9999.0</v>
      </c>
      <c r="X46" s="76">
        <f>IF($A46-$D$9&lt;Premissas!$B$41,0,$C$9*(Premissas!$B$39+(Premissas!$B$40-Premissas!$B$39)*$A46/36)/(1+EXP(-$K$9*($A46-$D$9-$I$9))))</f>
        <v>0.0</v>
      </c>
      <c r="Y46" s="77">
        <f>(X46*$B$9+IF($A46&gt;=Premissas!$B$46+$D$9,$F$9,0))*(1-$E$9)*(1-Premissas!$B$60)</f>
        <v>0.0</v>
      </c>
      <c r="Z46" s="77">
        <f>-(X46*$J$9+MAX(0,X46-X45)*$H$9+IF($A46-$D$9&lt;=2,Premissas!$B$49,IF($A46-$D$9&lt;=5,Premissas!$B$50,IF($A46-$D$9&lt;=8,Premissas!$B$51,$G$9)))+IF($A46=1+$D$9,Premissas!$B$55,IF($A46=3+$D$9,Premissas!$B$56,IF($A46=6+$D$9,Premissas!$B$57,0))))</f>
        <v>-22000.0</v>
      </c>
      <c r="AA46" s="77">
        <f>Y46+Z46</f>
        <v>-22000.0</v>
      </c>
      <c r="AB46" s="77">
        <f>AB45+AA46</f>
        <v>-96000.0</v>
      </c>
      <c r="AC46" s="78">
        <f>IF(AA46&gt;0,$A46,9999)</f>
        <v>9999.0</v>
      </c>
      <c r="AD46" s="78">
        <f>IF(AB46&gt;0,$A46,9999)</f>
        <v>9999.0</v>
      </c>
      <c r="AE46" s="76">
        <f>IF($A46-$D$10&lt;Premissas!$B$41,0,$C$10*(Premissas!$B$39+(Premissas!$B$40-Premissas!$B$39)*$A46/36)/(1+EXP(-$K$10*($A46-$D$10-$I$10))))</f>
        <v>0.0</v>
      </c>
      <c r="AF46" s="77">
        <f>(AE46*$B$10+IF($A46&gt;=Premissas!$B$46+$D$10,$F$10,0))*(1-$E$10)*(1-Premissas!$B$60)</f>
        <v>0.0</v>
      </c>
      <c r="AG46" s="77">
        <f>-(AE46*$J$10+MAX(0,AE46-AE45)*$H$10+IF($A46-$D$10&lt;=2,Premissas!$B$49,IF($A46-$D$10&lt;=5,Premissas!$B$50,IF($A46-$D$10&lt;=8,Premissas!$B$51,$G$10)))+IF($A46=1+$D$10,Premissas!$B$55,IF($A46=3+$D$10,Premissas!$B$56,IF($A46=6+$D$10,Premissas!$B$57,0))))</f>
        <v>-22000.0</v>
      </c>
      <c r="AH46" s="77">
        <f>AF46+AG46</f>
        <v>-22000.0</v>
      </c>
      <c r="AI46" s="77">
        <f>AI45+AH46</f>
        <v>-96000.0</v>
      </c>
      <c r="AJ46" s="78">
        <f>IF(AH46&gt;0,$A46,9999)</f>
        <v>9999.0</v>
      </c>
      <c r="AK46" s="78">
        <f>IF(AI46&gt;0,$A46,9999)</f>
        <v>9999.0</v>
      </c>
      <c r="AL46" s="76">
        <f>IF($A46-$D$11&lt;Premissas!$B$41,0,$C$11*(Premissas!$B$39+(Premissas!$B$40-Premissas!$B$39)*$A46/36)/(1+EXP(-$K$11*($A46-$D$11-$I$11))))</f>
        <v>0.0</v>
      </c>
      <c r="AM46" s="77">
        <f>(AL46*$B$11+IF($A46&gt;=Premissas!$B$46+$D$11,$F$11,0))*(1-$E$11)*(1-Premissas!$B$60)</f>
        <v>0.0</v>
      </c>
      <c r="AN46" s="77">
        <f>-(AL46*$J$11+MAX(0,AL46-AL45)*$H$11+IF($A46-$D$11&lt;=2,Premissas!$B$49,IF($A46-$D$11&lt;=5,Premissas!$B$50,IF($A46-$D$11&lt;=8,Premissas!$B$51,$G$11)))+IF($A46=1+$D$11,Premissas!$B$55,IF($A46=3+$D$11,Premissas!$B$56,IF($A46=6+$D$11,Premissas!$B$57,0))))</f>
        <v>-22000.0</v>
      </c>
      <c r="AO46" s="77">
        <f>AM46+AN46</f>
        <v>-22000.0</v>
      </c>
      <c r="AP46" s="77">
        <f>AP45+AO46</f>
        <v>-96000.0</v>
      </c>
      <c r="AQ46" s="78">
        <f>IF(AO46&gt;0,$A46,9999)</f>
        <v>9999.0</v>
      </c>
      <c r="AR46" s="78">
        <f>IF(AP46&gt;0,$A46,9999)</f>
        <v>9999.0</v>
      </c>
      <c r="AS46" s="76">
        <f>IF($A46-$D$12&lt;Premissas!$B$41,0,$C$12*(Premissas!$B$39+(Premissas!$B$40-Premissas!$B$39)*$A46/36)/(1+EXP(-$K$12*($A46-$D$12-$I$12))))</f>
        <v>0.0</v>
      </c>
      <c r="AT46" s="77">
        <f>(AS46*$B$12+IF($A46&gt;=Premissas!$B$46+$D$12,$F$12,0))*(1-$E$12)*(1-Premissas!$B$60)</f>
        <v>0.0</v>
      </c>
      <c r="AU46" s="77">
        <f>-(AS46*$J$12+MAX(0,AS46-AS45)*$H$12+IF($A46-$D$12&lt;=2,Premissas!$B$49,IF($A46-$D$12&lt;=5,Premissas!$B$50,IF($A46-$D$12&lt;=8,Premissas!$B$51,$G$12)))+IF($A46=1+$D$12,Premissas!$B$55,IF($A46=3+$D$12,Premissas!$B$56,IF($A46=6+$D$12,Premissas!$B$57,0))))</f>
        <v>-22000.0</v>
      </c>
      <c r="AV46" s="77">
        <f>AT46+AU46</f>
        <v>-22000.0</v>
      </c>
      <c r="AW46" s="77">
        <f>AW45+AV46</f>
        <v>-96000.0</v>
      </c>
      <c r="AX46" s="78">
        <f>IF(AV46&gt;0,$A46,9999)</f>
        <v>9999.0</v>
      </c>
      <c r="AY46" s="78">
        <f>IF(AW46&gt;0,$A46,9999)</f>
        <v>9999.0</v>
      </c>
      <c r="AZ46" s="76">
        <f>IF($A46-$D$13&lt;Premissas!$B$41,0,$C$13*(Premissas!$B$39+(Premissas!$B$40-Premissas!$B$39)*$A46/36)/(1+EXP(-$K$13*($A46-$D$13-$I$13))))</f>
        <v>0.0</v>
      </c>
      <c r="BA46" s="77">
        <f>(AZ46*$B$13+IF($A46&gt;=Premissas!$B$46+$D$13,$F$13,0))*(1-$E$13)*(1-Premissas!$B$60)</f>
        <v>0.0</v>
      </c>
      <c r="BB46" s="77">
        <f>-(AZ46*$J$13+MAX(0,AZ46-AZ45)*$H$13+IF($A46-$D$13&lt;=2,Premissas!$B$49,IF($A46-$D$13&lt;=5,Premissas!$B$50,IF($A46-$D$13&lt;=8,Premissas!$B$51,$G$13)))+IF($A46=1+$D$13,Premissas!$B$55,IF($A46=3+$D$13,Premissas!$B$56,IF($A46=6+$D$13,Premissas!$B$57,0))))</f>
        <v>-5000.0</v>
      </c>
      <c r="BC46" s="77">
        <f>BA46+BB46</f>
        <v>-5000.0</v>
      </c>
      <c r="BD46" s="77">
        <f>BD45+BC46</f>
        <v>-25000.0</v>
      </c>
      <c r="BE46" s="78">
        <f>IF(BC46&gt;0,$A46,9999)</f>
        <v>9999.0</v>
      </c>
      <c r="BF46" s="78">
        <f>IF(BD46&gt;0,$A46,9999)</f>
        <v>9999.0</v>
      </c>
      <c r="BG46" s="76">
        <f>IF($A46-$D$14&lt;Premissas!$B$41,0,$C$14*(Premissas!$B$39+(Premissas!$B$40-Premissas!$B$39)*$A46/36)/(1+EXP(-$K$14*($A46-$D$14-$I$14))))</f>
        <v>0.0</v>
      </c>
      <c r="BH46" s="77">
        <f>(BG46*$B$14+IF($A46&gt;=Premissas!$B$46+$D$14,$F$14,0))*(1-$E$14)*(1-Premissas!$B$60)</f>
        <v>0.0</v>
      </c>
      <c r="BI46" s="77">
        <f>-(BG46*$J$14+MAX(0,BG46-BG45)*$H$14+IF($A46-$D$14&lt;=2,Premissas!$B$49,IF($A46-$D$14&lt;=5,Premissas!$B$50,IF($A46-$D$14&lt;=8,Premissas!$B$51,$G$14)))+IF($A46=1+$D$14,Premissas!$B$55,IF($A46=3+$D$14,Premissas!$B$56,IF($A46=6+$D$14,Premissas!$B$57,0))))</f>
        <v>-22000.0</v>
      </c>
      <c r="BJ46" s="77">
        <f>BH46+BI46</f>
        <v>-22000.0</v>
      </c>
      <c r="BK46" s="77">
        <f>BK45+BJ46</f>
        <v>-96000.0</v>
      </c>
      <c r="BL46" s="78">
        <f>IF(BJ46&gt;0,$A46,9999)</f>
        <v>9999.0</v>
      </c>
      <c r="BM46" s="78">
        <f>IF(BK46&gt;0,$A46,9999)</f>
        <v>9999.0</v>
      </c>
      <c r="BN46" s="76">
        <f>IF($A46-$D$15&lt;Premissas!$B$41,0,$C$15*(Premissas!$B$39+(Premissas!$B$40-Premissas!$B$39)*$A46/36)/(1+EXP(-$K$15*($A46-$D$15-$I$15))))</f>
        <v>0.0</v>
      </c>
      <c r="BO46" s="77">
        <f>(BN46*$B$15+IF($A46&gt;=Premissas!$B$46+$D$15,$F$15,0))*(1-$E$15)*(1-Premissas!$B$60)</f>
        <v>0.0</v>
      </c>
      <c r="BP46" s="77">
        <f>-(BN46*$J$15+MAX(0,BN46-BN45)*$H$15+IF($A46-$D$15&lt;=2,Premissas!$B$49,IF($A46-$D$15&lt;=5,Premissas!$B$50,IF($A46-$D$15&lt;=8,Premissas!$B$51,$G$15)))+IF($A46=1+$D$15,Premissas!$B$55,IF($A46=3+$D$15,Premissas!$B$56,IF($A46=6+$D$15,Premissas!$B$57,0))))</f>
        <v>-22000.0</v>
      </c>
      <c r="BQ46" s="77">
        <f>BO46+BP46</f>
        <v>-22000.0</v>
      </c>
      <c r="BR46" s="77">
        <f>BR45+BQ46</f>
        <v>-96000.0</v>
      </c>
      <c r="BS46" s="78">
        <f>IF(BQ46&gt;0,$A46,9999)</f>
        <v>9999.0</v>
      </c>
      <c r="BT46" s="78">
        <f>IF(BR46&gt;0,$A46,9999)</f>
        <v>9999.0</v>
      </c>
      <c r="BU46" s="76">
        <f>IF($A46-$D$16&lt;Premissas!$B$41,0,$C$16*(Premissas!$B$39+(Premissas!$B$40-Premissas!$B$39)*$A46/36)/(1+EXP(-$K$16*($A46-$D$16-$I$16))))</f>
        <v>0.0</v>
      </c>
      <c r="BV46" s="77">
        <f>(BU46*$B$16+IF($A46&gt;=Premissas!$B$46+$D$16,$F$16,0))*(1-$E$16)*(1-Premissas!$B$60)</f>
        <v>0.0</v>
      </c>
      <c r="BW46" s="77">
        <f>-(BU46*$J$16+MAX(0,BU46-BU45)*$H$16+IF($A46-$D$16&lt;=2,Premissas!$B$49,IF($A46-$D$16&lt;=5,Premissas!$B$50,IF($A46-$D$16&lt;=8,Premissas!$B$51,$G$16)))+IF($A46=1+$D$16,Premissas!$B$55,IF($A46=3+$D$16,Premissas!$B$56,IF($A46=6+$D$16,Premissas!$B$57,0))))</f>
        <v>-22000.0</v>
      </c>
      <c r="BX46" s="77">
        <f>BV46+BW46</f>
        <v>-22000.0</v>
      </c>
      <c r="BY46" s="77">
        <f>BY45+BX46</f>
        <v>-96000.0</v>
      </c>
      <c r="BZ46" s="78">
        <f>IF(BX46&gt;0,$A46,9999)</f>
        <v>9999.0</v>
      </c>
      <c r="CA46" s="78">
        <f>IF(BY46&gt;0,$A46,9999)</f>
        <v>9999.0</v>
      </c>
      <c r="CB46" s="76">
        <f>IF($A46-$D$17&lt;Premissas!$B$41,0,$C$17*(Premissas!$B$39+(Premissas!$B$40-Premissas!$B$39)*$A46/36)/(1+EXP(-$K$17*($A46-$D$17-$I$17))))</f>
        <v>0.0</v>
      </c>
      <c r="CC46" s="77">
        <f>(CB46*$B$17+IF($A46&gt;=Premissas!$B$46+$D$17,$F$17,0))*(1-$E$17)*(1-Premissas!$B$60)</f>
        <v>0.0</v>
      </c>
      <c r="CD46" s="77">
        <f>-(CB46*$J$17+MAX(0,CB46-CB45)*$H$17+IF($A46-$D$17&lt;=2,Premissas!$B$49,IF($A46-$D$17&lt;=5,Premissas!$B$50,IF($A46-$D$17&lt;=8,Premissas!$B$51,$G$17)))+IF($A46=1+$D$17,Premissas!$B$55,IF($A46=3+$D$17,Premissas!$B$56,IF($A46=6+$D$17,Premissas!$B$57,0))))</f>
        <v>-5000.0</v>
      </c>
      <c r="CE46" s="77">
        <f>CC46+CD46</f>
        <v>-5000.0</v>
      </c>
      <c r="CF46" s="77">
        <f>CF45+CE46</f>
        <v>-25000.0</v>
      </c>
      <c r="CG46" s="78">
        <f>IF(CE46&gt;0,$A46,9999)</f>
        <v>9999.0</v>
      </c>
      <c r="CH46" s="78">
        <f>IF(CF46&gt;0,$A46,9999)</f>
        <v>9999.0</v>
      </c>
    </row>
    <row r="47">
      <c r="A47" s="14" t="n">
        <v>6</v>
      </c>
      <c r="C47" s="76">
        <f>IF($A47-$D$6&lt;Premissas!$B$41,0,$C$6*(Premissas!$B$39+(Premissas!$B$40-Premissas!$B$39)*$A47/36)/(1+EXP(-$K$6*($A47-$D$6-$I$6))))</f>
        <v>0.0</v>
      </c>
      <c r="D47" s="77">
        <f>(C47*$B$6+IF($A47&gt;=Premissas!$B$46+$D$6,$F$6,0))*(1-$E$6)*(1-Premissas!$B$60)</f>
        <v>0.0</v>
      </c>
      <c r="E47" s="77">
        <f>-(C47*$J$6+MAX(0,C47-C46)*$H$6+IF($A47-$D$6&lt;=2,Premissas!$B$49,IF($A47-$D$6&lt;=5,Premissas!$B$50,IF($A47-$D$6&lt;=8,Premissas!$B$51,$G$6)))+IF($A47=1+$D$6,Premissas!$B$55,IF($A47=3+$D$6,Premissas!$B$56,IF($A47=6+$D$6,Premissas!$B$57,0))))</f>
        <v>-38000.0</v>
      </c>
      <c r="F47" s="77">
        <f>D47+E47</f>
        <v>-38000.0</v>
      </c>
      <c r="G47" s="77">
        <f>G46+F47</f>
        <v>-134000.0</v>
      </c>
      <c r="H47" s="78">
        <f>IF(F47&gt;0,$A47,9999)</f>
        <v>9999.0</v>
      </c>
      <c r="I47" s="78">
        <f>IF(G47&gt;0,$A47,9999)</f>
        <v>9999.0</v>
      </c>
      <c r="J47" s="76">
        <f>IF($A47-$D$7&lt;Premissas!$B$41,0,$C$7*(Premissas!$B$39+(Premissas!$B$40-Premissas!$B$39)*$A47/36)/(1+EXP(-$K$7*($A47-$D$7-$I$7))))</f>
        <v>0.0</v>
      </c>
      <c r="K47" s="77">
        <f>(J47*$B$7+IF($A47&gt;=Premissas!$B$46+$D$7,$F$7,0))*(1-$E$7)*(1-Premissas!$B$60)</f>
        <v>0.0</v>
      </c>
      <c r="L47" s="77">
        <f>-(J47*$J$7+MAX(0,J47-J46)*$H$7+IF($A47-$D$7&lt;=2,Premissas!$B$49,IF($A47-$D$7&lt;=5,Premissas!$B$50,IF($A47-$D$7&lt;=8,Premissas!$B$51,$G$7)))+IF($A47=1+$D$7,Premissas!$B$55,IF($A47=3+$D$7,Premissas!$B$56,IF($A47=6+$D$7,Premissas!$B$57,0))))</f>
        <v>-38000.0</v>
      </c>
      <c r="M47" s="77">
        <f>K47+L47</f>
        <v>-38000.0</v>
      </c>
      <c r="N47" s="77">
        <f>N46+M47</f>
        <v>-134000.0</v>
      </c>
      <c r="O47" s="78">
        <f>IF(M47&gt;0,$A47,9999)</f>
        <v>9999.0</v>
      </c>
      <c r="P47" s="78">
        <f>IF(N47&gt;0,$A47,9999)</f>
        <v>9999.0</v>
      </c>
      <c r="Q47" s="76">
        <f>IF($A47-$D$8&lt;Premissas!$B$41,0,$C$8*(Premissas!$B$39+(Premissas!$B$40-Premissas!$B$39)*$A47/36)/(1+EXP(-$K$8*($A47-$D$8-$I$8))))</f>
        <v>0.0</v>
      </c>
      <c r="R47" s="77">
        <f>(Q47*$B$8+IF($A47&gt;=Premissas!$B$46+$D$8,$F$8,0))*(1-$E$8)*(1-Premissas!$B$60)</f>
        <v>0.0</v>
      </c>
      <c r="S47" s="77">
        <f>-(Q47*$J$8+MAX(0,Q47-Q46)*$H$8+IF($A47-$D$8&lt;=2,Premissas!$B$49,IF($A47-$D$8&lt;=5,Premissas!$B$50,IF($A47-$D$8&lt;=8,Premissas!$B$51,$G$8)))+IF($A47=1+$D$8,Premissas!$B$55,IF($A47=3+$D$8,Premissas!$B$56,IF($A47=6+$D$8,Premissas!$B$57,0))))</f>
        <v>-38000.0</v>
      </c>
      <c r="T47" s="77">
        <f>R47+S47</f>
        <v>-38000.0</v>
      </c>
      <c r="U47" s="77">
        <f>U46+T47</f>
        <v>-134000.0</v>
      </c>
      <c r="V47" s="78">
        <f>IF(T47&gt;0,$A47,9999)</f>
        <v>9999.0</v>
      </c>
      <c r="W47" s="78">
        <f>IF(U47&gt;0,$A47,9999)</f>
        <v>9999.0</v>
      </c>
      <c r="X47" s="76">
        <f>IF($A47-$D$9&lt;Premissas!$B$41,0,$C$9*(Premissas!$B$39+(Premissas!$B$40-Premissas!$B$39)*$A47/36)/(1+EXP(-$K$9*($A47-$D$9-$I$9))))</f>
        <v>0.0</v>
      </c>
      <c r="Y47" s="77">
        <f>(X47*$B$9+IF($A47&gt;=Premissas!$B$46+$D$9,$F$9,0))*(1-$E$9)*(1-Premissas!$B$60)</f>
        <v>0.0</v>
      </c>
      <c r="Z47" s="77">
        <f>-(X47*$J$9+MAX(0,X47-X46)*$H$9+IF($A47-$D$9&lt;=2,Premissas!$B$49,IF($A47-$D$9&lt;=5,Premissas!$B$50,IF($A47-$D$9&lt;=8,Premissas!$B$51,$G$9)))+IF($A47=1+$D$9,Premissas!$B$55,IF($A47=3+$D$9,Premissas!$B$56,IF($A47=6+$D$9,Premissas!$B$57,0))))</f>
        <v>-38000.0</v>
      </c>
      <c r="AA47" s="77">
        <f>Y47+Z47</f>
        <v>-38000.0</v>
      </c>
      <c r="AB47" s="77">
        <f>AB46+AA47</f>
        <v>-134000.0</v>
      </c>
      <c r="AC47" s="78">
        <f>IF(AA47&gt;0,$A47,9999)</f>
        <v>9999.0</v>
      </c>
      <c r="AD47" s="78">
        <f>IF(AB47&gt;0,$A47,9999)</f>
        <v>9999.0</v>
      </c>
      <c r="AE47" s="76">
        <f>IF($A47-$D$10&lt;Premissas!$B$41,0,$C$10*(Premissas!$B$39+(Premissas!$B$40-Premissas!$B$39)*$A47/36)/(1+EXP(-$K$10*($A47-$D$10-$I$10))))</f>
        <v>0.0</v>
      </c>
      <c r="AF47" s="77">
        <f>(AE47*$B$10+IF($A47&gt;=Premissas!$B$46+$D$10,$F$10,0))*(1-$E$10)*(1-Premissas!$B$60)</f>
        <v>0.0</v>
      </c>
      <c r="AG47" s="77">
        <f>-(AE47*$J$10+MAX(0,AE47-AE46)*$H$10+IF($A47-$D$10&lt;=2,Premissas!$B$49,IF($A47-$D$10&lt;=5,Premissas!$B$50,IF($A47-$D$10&lt;=8,Premissas!$B$51,$G$10)))+IF($A47=1+$D$10,Premissas!$B$55,IF($A47=3+$D$10,Premissas!$B$56,IF($A47=6+$D$10,Premissas!$B$57,0))))</f>
        <v>-38000.0</v>
      </c>
      <c r="AH47" s="77">
        <f>AF47+AG47</f>
        <v>-38000.0</v>
      </c>
      <c r="AI47" s="77">
        <f>AI46+AH47</f>
        <v>-134000.0</v>
      </c>
      <c r="AJ47" s="78">
        <f>IF(AH47&gt;0,$A47,9999)</f>
        <v>9999.0</v>
      </c>
      <c r="AK47" s="78">
        <f>IF(AI47&gt;0,$A47,9999)</f>
        <v>9999.0</v>
      </c>
      <c r="AL47" s="76">
        <f>IF($A47-$D$11&lt;Premissas!$B$41,0,$C$11*(Premissas!$B$39+(Premissas!$B$40-Premissas!$B$39)*$A47/36)/(1+EXP(-$K$11*($A47-$D$11-$I$11))))</f>
        <v>0.0</v>
      </c>
      <c r="AM47" s="77">
        <f>(AL47*$B$11+IF($A47&gt;=Premissas!$B$46+$D$11,$F$11,0))*(1-$E$11)*(1-Premissas!$B$60)</f>
        <v>0.0</v>
      </c>
      <c r="AN47" s="77">
        <f>-(AL47*$J$11+MAX(0,AL47-AL46)*$H$11+IF($A47-$D$11&lt;=2,Premissas!$B$49,IF($A47-$D$11&lt;=5,Premissas!$B$50,IF($A47-$D$11&lt;=8,Premissas!$B$51,$G$11)))+IF($A47=1+$D$11,Premissas!$B$55,IF($A47=3+$D$11,Premissas!$B$56,IF($A47=6+$D$11,Premissas!$B$57,0))))</f>
        <v>-38000.0</v>
      </c>
      <c r="AO47" s="77">
        <f>AM47+AN47</f>
        <v>-38000.0</v>
      </c>
      <c r="AP47" s="77">
        <f>AP46+AO47</f>
        <v>-134000.0</v>
      </c>
      <c r="AQ47" s="78">
        <f>IF(AO47&gt;0,$A47,9999)</f>
        <v>9999.0</v>
      </c>
      <c r="AR47" s="78">
        <f>IF(AP47&gt;0,$A47,9999)</f>
        <v>9999.0</v>
      </c>
      <c r="AS47" s="76">
        <f>IF($A47-$D$12&lt;Premissas!$B$41,0,$C$12*(Premissas!$B$39+(Premissas!$B$40-Premissas!$B$39)*$A47/36)/(1+EXP(-$K$12*($A47-$D$12-$I$12))))</f>
        <v>0.0</v>
      </c>
      <c r="AT47" s="77">
        <f>(AS47*$B$12+IF($A47&gt;=Premissas!$B$46+$D$12,$F$12,0))*(1-$E$12)*(1-Premissas!$B$60)</f>
        <v>0.0</v>
      </c>
      <c r="AU47" s="77">
        <f>-(AS47*$J$12+MAX(0,AS47-AS46)*$H$12+IF($A47-$D$12&lt;=2,Premissas!$B$49,IF($A47-$D$12&lt;=5,Premissas!$B$50,IF($A47-$D$12&lt;=8,Premissas!$B$51,$G$12)))+IF($A47=1+$D$12,Premissas!$B$55,IF($A47=3+$D$12,Premissas!$B$56,IF($A47=6+$D$12,Premissas!$B$57,0))))</f>
        <v>-38000.0</v>
      </c>
      <c r="AV47" s="77">
        <f>AT47+AU47</f>
        <v>-38000.0</v>
      </c>
      <c r="AW47" s="77">
        <f>AW46+AV47</f>
        <v>-134000.0</v>
      </c>
      <c r="AX47" s="78">
        <f>IF(AV47&gt;0,$A47,9999)</f>
        <v>9999.0</v>
      </c>
      <c r="AY47" s="78">
        <f>IF(AW47&gt;0,$A47,9999)</f>
        <v>9999.0</v>
      </c>
      <c r="AZ47" s="76">
        <f>IF($A47-$D$13&lt;Premissas!$B$41,0,$C$13*(Premissas!$B$39+(Premissas!$B$40-Premissas!$B$39)*$A47/36)/(1+EXP(-$K$13*($A47-$D$13-$I$13))))</f>
        <v>0.0</v>
      </c>
      <c r="BA47" s="77">
        <f>(AZ47*$B$13+IF($A47&gt;=Premissas!$B$46+$D$13,$F$13,0))*(1-$E$13)*(1-Premissas!$B$60)</f>
        <v>0.0</v>
      </c>
      <c r="BB47" s="77">
        <f>-(AZ47*$J$13+MAX(0,AZ47-AZ46)*$H$13+IF($A47-$D$13&lt;=2,Premissas!$B$49,IF($A47-$D$13&lt;=5,Premissas!$B$50,IF($A47-$D$13&lt;=8,Premissas!$B$51,$G$13)))+IF($A47=1+$D$13,Premissas!$B$55,IF($A47=3+$D$13,Premissas!$B$56,IF($A47=6+$D$13,Premissas!$B$57,0))))</f>
        <v>-5000.0</v>
      </c>
      <c r="BC47" s="77">
        <f>BA47+BB47</f>
        <v>-5000.0</v>
      </c>
      <c r="BD47" s="77">
        <f>BD46+BC47</f>
        <v>-30000.0</v>
      </c>
      <c r="BE47" s="78">
        <f>IF(BC47&gt;0,$A47,9999)</f>
        <v>9999.0</v>
      </c>
      <c r="BF47" s="78">
        <f>IF(BD47&gt;0,$A47,9999)</f>
        <v>9999.0</v>
      </c>
      <c r="BG47" s="76">
        <f>IF($A47-$D$14&lt;Premissas!$B$41,0,$C$14*(Premissas!$B$39+(Premissas!$B$40-Premissas!$B$39)*$A47/36)/(1+EXP(-$K$14*($A47-$D$14-$I$14))))</f>
        <v>0.0</v>
      </c>
      <c r="BH47" s="77">
        <f>(BG47*$B$14+IF($A47&gt;=Premissas!$B$46+$D$14,$F$14,0))*(1-$E$14)*(1-Premissas!$B$60)</f>
        <v>0.0</v>
      </c>
      <c r="BI47" s="77">
        <f>-(BG47*$J$14+MAX(0,BG47-BG46)*$H$14+IF($A47-$D$14&lt;=2,Premissas!$B$49,IF($A47-$D$14&lt;=5,Premissas!$B$50,IF($A47-$D$14&lt;=8,Premissas!$B$51,$G$14)))+IF($A47=1+$D$14,Premissas!$B$55,IF($A47=3+$D$14,Premissas!$B$56,IF($A47=6+$D$14,Premissas!$B$57,0))))</f>
        <v>-38000.0</v>
      </c>
      <c r="BJ47" s="77">
        <f>BH47+BI47</f>
        <v>-38000.0</v>
      </c>
      <c r="BK47" s="77">
        <f>BK46+BJ47</f>
        <v>-134000.0</v>
      </c>
      <c r="BL47" s="78">
        <f>IF(BJ47&gt;0,$A47,9999)</f>
        <v>9999.0</v>
      </c>
      <c r="BM47" s="78">
        <f>IF(BK47&gt;0,$A47,9999)</f>
        <v>9999.0</v>
      </c>
      <c r="BN47" s="76">
        <f>IF($A47-$D$15&lt;Premissas!$B$41,0,$C$15*(Premissas!$B$39+(Premissas!$B$40-Premissas!$B$39)*$A47/36)/(1+EXP(-$K$15*($A47-$D$15-$I$15))))</f>
        <v>0.0</v>
      </c>
      <c r="BO47" s="77">
        <f>(BN47*$B$15+IF($A47&gt;=Premissas!$B$46+$D$15,$F$15,0))*(1-$E$15)*(1-Premissas!$B$60)</f>
        <v>0.0</v>
      </c>
      <c r="BP47" s="77">
        <f>-(BN47*$J$15+MAX(0,BN47-BN46)*$H$15+IF($A47-$D$15&lt;=2,Premissas!$B$49,IF($A47-$D$15&lt;=5,Premissas!$B$50,IF($A47-$D$15&lt;=8,Premissas!$B$51,$G$15)))+IF($A47=1+$D$15,Premissas!$B$55,IF($A47=3+$D$15,Premissas!$B$56,IF($A47=6+$D$15,Premissas!$B$57,0))))</f>
        <v>-38000.0</v>
      </c>
      <c r="BQ47" s="77">
        <f>BO47+BP47</f>
        <v>-38000.0</v>
      </c>
      <c r="BR47" s="77">
        <f>BR46+BQ47</f>
        <v>-134000.0</v>
      </c>
      <c r="BS47" s="78">
        <f>IF(BQ47&gt;0,$A47,9999)</f>
        <v>9999.0</v>
      </c>
      <c r="BT47" s="78">
        <f>IF(BR47&gt;0,$A47,9999)</f>
        <v>9999.0</v>
      </c>
      <c r="BU47" s="76">
        <f>IF($A47-$D$16&lt;Premissas!$B$41,0,$C$16*(Premissas!$B$39+(Premissas!$B$40-Premissas!$B$39)*$A47/36)/(1+EXP(-$K$16*($A47-$D$16-$I$16))))</f>
        <v>0.0</v>
      </c>
      <c r="BV47" s="77">
        <f>(BU47*$B$16+IF($A47&gt;=Premissas!$B$46+$D$16,$F$16,0))*(1-$E$16)*(1-Premissas!$B$60)</f>
        <v>0.0</v>
      </c>
      <c r="BW47" s="77">
        <f>-(BU47*$J$16+MAX(0,BU47-BU46)*$H$16+IF($A47-$D$16&lt;=2,Premissas!$B$49,IF($A47-$D$16&lt;=5,Premissas!$B$50,IF($A47-$D$16&lt;=8,Premissas!$B$51,$G$16)))+IF($A47=1+$D$16,Premissas!$B$55,IF($A47=3+$D$16,Premissas!$B$56,IF($A47=6+$D$16,Premissas!$B$57,0))))</f>
        <v>-38000.0</v>
      </c>
      <c r="BX47" s="77">
        <f>BV47+BW47</f>
        <v>-38000.0</v>
      </c>
      <c r="BY47" s="77">
        <f>BY46+BX47</f>
        <v>-134000.0</v>
      </c>
      <c r="BZ47" s="78">
        <f>IF(BX47&gt;0,$A47,9999)</f>
        <v>9999.0</v>
      </c>
      <c r="CA47" s="78">
        <f>IF(BY47&gt;0,$A47,9999)</f>
        <v>9999.0</v>
      </c>
      <c r="CB47" s="76">
        <f>IF($A47-$D$17&lt;Premissas!$B$41,0,$C$17*(Premissas!$B$39+(Premissas!$B$40-Premissas!$B$39)*$A47/36)/(1+EXP(-$K$17*($A47-$D$17-$I$17))))</f>
        <v>0.0</v>
      </c>
      <c r="CC47" s="77">
        <f>(CB47*$B$17+IF($A47&gt;=Premissas!$B$46+$D$17,$F$17,0))*(1-$E$17)*(1-Premissas!$B$60)</f>
        <v>0.0</v>
      </c>
      <c r="CD47" s="77">
        <f>-(CB47*$J$17+MAX(0,CB47-CB46)*$H$17+IF($A47-$D$17&lt;=2,Premissas!$B$49,IF($A47-$D$17&lt;=5,Premissas!$B$50,IF($A47-$D$17&lt;=8,Premissas!$B$51,$G$17)))+IF($A47=1+$D$17,Premissas!$B$55,IF($A47=3+$D$17,Premissas!$B$56,IF($A47=6+$D$17,Premissas!$B$57,0))))</f>
        <v>-5000.0</v>
      </c>
      <c r="CE47" s="77">
        <f>CC47+CD47</f>
        <v>-5000.0</v>
      </c>
      <c r="CF47" s="77">
        <f>CF46+CE47</f>
        <v>-30000.0</v>
      </c>
      <c r="CG47" s="78">
        <f>IF(CE47&gt;0,$A47,9999)</f>
        <v>9999.0</v>
      </c>
      <c r="CH47" s="78">
        <f>IF(CF47&gt;0,$A47,9999)</f>
        <v>9999.0</v>
      </c>
    </row>
    <row r="48">
      <c r="A48" s="14" t="n">
        <v>7</v>
      </c>
      <c r="C48" s="76">
        <f>IF($A48-$D$6&lt;Premissas!$B$41,0,$C$6*(Premissas!$B$39+(Premissas!$B$40-Premissas!$B$39)*$A48/36)/(1+EXP(-$K$6*($A48-$D$6-$I$6))))</f>
        <v>16.025584371175636</v>
      </c>
      <c r="D48" s="77">
        <f>(C48*$B$6+IF($A48&gt;=Premissas!$B$46+$D$6,$F$6,0))*(1-$E$6)*(1-Premissas!$B$60)</f>
        <v>5112.161414405028</v>
      </c>
      <c r="E48" s="77">
        <f>-(C48*$J$6+MAX(0,C48-C47)*$H$6+IF($A48-$D$6&lt;=2,Premissas!$B$49,IF($A48-$D$6&lt;=5,Premissas!$B$50,IF($A48-$D$6&lt;=8,Premissas!$B$51,$G$6)))+IF($A48=1+$D$6,Premissas!$B$55,IF($A48=3+$D$6,Premissas!$B$56,IF($A48=6+$D$6,Premissas!$B$57,0))))</f>
        <v>-35131.385045173156</v>
      </c>
      <c r="F48" s="77">
        <f>D48+E48</f>
        <v>-30019.223630768127</v>
      </c>
      <c r="G48" s="77">
        <f>G47+F48</f>
        <v>-164019.22363076813</v>
      </c>
      <c r="H48" s="78">
        <f>IF(F48&gt;0,$A48,9999)</f>
        <v>9999.0</v>
      </c>
      <c r="I48" s="78">
        <f>IF(G48&gt;0,$A48,9999)</f>
        <v>9999.0</v>
      </c>
      <c r="J48" s="76">
        <f>IF($A48-$D$7&lt;Premissas!$B$41,0,$C$7*(Premissas!$B$39+(Premissas!$B$40-Premissas!$B$39)*$A48/36)/(1+EXP(-$K$7*($A48-$D$7-$I$7))))</f>
        <v>42.01746329535327</v>
      </c>
      <c r="K48" s="77">
        <f>(J48*$B$7+IF($A48&gt;=Premissas!$B$46+$D$7,$F$7,0))*(1-$E$7)*(1-Premissas!$B$60)</f>
        <v>9422.41614398297</v>
      </c>
      <c r="L48" s="77">
        <f>-(J48*$J$7+MAX(0,J48-J47)*$H$7+IF($A48-$D$7&lt;=2,Premissas!$B$49,IF($A48-$D$7&lt;=5,Premissas!$B$50,IF($A48-$D$7&lt;=8,Premissas!$B$51,$G$7)))+IF($A48=1+$D$7,Premissas!$B$55,IF($A48=3+$D$7,Premissas!$B$56,IF($A48=6+$D$7,Premissas!$B$57,0))))</f>
        <v>-31865.6066231725</v>
      </c>
      <c r="M48" s="77">
        <f>K48+L48</f>
        <v>-22443.190479189532</v>
      </c>
      <c r="N48" s="77">
        <f>N47+M48</f>
        <v>-156443.19047918954</v>
      </c>
      <c r="O48" s="78">
        <f>IF(M48&gt;0,$A48,9999)</f>
        <v>9999.0</v>
      </c>
      <c r="P48" s="78">
        <f>IF(N48&gt;0,$A48,9999)</f>
        <v>9999.0</v>
      </c>
      <c r="Q48" s="76">
        <f>IF($A48-$D$8&lt;Premissas!$B$41,0,$C$8*(Premissas!$B$39+(Premissas!$B$40-Premissas!$B$39)*$A48/36)/(1+EXP(-$K$8*($A48-$D$8-$I$8))))</f>
        <v>42.01746329535327</v>
      </c>
      <c r="R48" s="77">
        <f>(Q48*$B$8+IF($A48&gt;=Premissas!$B$46+$D$8,$F$8,0))*(1-$E$8)*(1-Premissas!$B$60)</f>
        <v>12563.221525310626</v>
      </c>
      <c r="S48" s="77">
        <f>-(Q48*$J$8+MAX(0,Q48-Q47)*$H$8+IF($A48-$D$8&lt;=2,Premissas!$B$49,IF($A48-$D$8&lt;=5,Premissas!$B$50,IF($A48-$D$8&lt;=8,Premissas!$B$51,$G$8)))+IF($A48=1+$D$8,Premissas!$B$55,IF($A48=3+$D$8,Premissas!$B$56,IF($A48=6+$D$8,Premissas!$B$57,0))))</f>
        <v>-31865.6066231725</v>
      </c>
      <c r="T48" s="77">
        <f>R48+S48</f>
        <v>-19302.385097861876</v>
      </c>
      <c r="U48" s="77">
        <f>U47+T48</f>
        <v>-153302.38509786187</v>
      </c>
      <c r="V48" s="78">
        <f>IF(T48&gt;0,$A48,9999)</f>
        <v>9999.0</v>
      </c>
      <c r="W48" s="78">
        <f>IF(U48&gt;0,$A48,9999)</f>
        <v>9999.0</v>
      </c>
      <c r="X48" s="76">
        <f>IF($A48-$D$9&lt;Premissas!$B$41,0,$C$9*(Premissas!$B$39+(Premissas!$B$40-Premissas!$B$39)*$A48/36)/(1+EXP(-$K$9*($A48-$D$9-$I$9))))</f>
        <v>42.01746329535327</v>
      </c>
      <c r="Y48" s="77">
        <f>(X48*$B$9+IF($A48&gt;=Premissas!$B$46+$D$9,$F$9,0))*(1-$E$9)*(1-Premissas!$B$60)</f>
        <v>10050.577220248502</v>
      </c>
      <c r="Z48" s="77">
        <f>-(X48*$J$9+MAX(0,X48-X47)*$H$9+IF($A48-$D$9&lt;=2,Premissas!$B$49,IF($A48-$D$9&lt;=5,Premissas!$B$50,IF($A48-$D$9&lt;=8,Premissas!$B$51,$G$9)))+IF($A48=1+$D$9,Premissas!$B$55,IF($A48=3+$D$9,Premissas!$B$56,IF($A48=6+$D$9,Premissas!$B$57,0))))</f>
        <v>-31865.6066231725</v>
      </c>
      <c r="AA48" s="77">
        <f>Y48+Z48</f>
        <v>-21815.029402924</v>
      </c>
      <c r="AB48" s="77">
        <f>AB47+AA48</f>
        <v>-155815.029402924</v>
      </c>
      <c r="AC48" s="78">
        <f>IF(AA48&gt;0,$A48,9999)</f>
        <v>9999.0</v>
      </c>
      <c r="AD48" s="78">
        <f>IF(AB48&gt;0,$A48,9999)</f>
        <v>9999.0</v>
      </c>
      <c r="AE48" s="76">
        <f>IF($A48-$D$10&lt;Premissas!$B$41,0,$C$10*(Premissas!$B$39+(Premissas!$B$40-Premissas!$B$39)*$A48/36)/(1+EXP(-$K$10*($A48-$D$10-$I$10))))</f>
        <v>42.01746329535327</v>
      </c>
      <c r="AF48" s="77">
        <f>(AE48*$B$10+IF($A48&gt;=Premissas!$B$46+$D$10,$F$10,0))*(1-$E$10)*(1-Premissas!$B$60)</f>
        <v>8794.255067717437</v>
      </c>
      <c r="AG48" s="77">
        <f>-(AE48*$J$10+MAX(0,AE48-AE47)*$H$10+IF($A48-$D$10&lt;=2,Premissas!$B$49,IF($A48-$D$10&lt;=5,Premissas!$B$50,IF($A48-$D$10&lt;=8,Premissas!$B$51,$G$10)))+IF($A48=1+$D$10,Premissas!$B$55,IF($A48=3+$D$10,Premissas!$B$56,IF($A48=6+$D$10,Premissas!$B$57,0))))</f>
        <v>-31865.6066231725</v>
      </c>
      <c r="AH48" s="77">
        <f>AF48+AG48</f>
        <v>-23071.351555455065</v>
      </c>
      <c r="AI48" s="77">
        <f>AI47+AH48</f>
        <v>-157071.35155545507</v>
      </c>
      <c r="AJ48" s="78">
        <f>IF(AH48&gt;0,$A48,9999)</f>
        <v>9999.0</v>
      </c>
      <c r="AK48" s="78">
        <f>IF(AI48&gt;0,$A48,9999)</f>
        <v>9999.0</v>
      </c>
      <c r="AL48" s="76">
        <f>IF($A48-$D$11&lt;Premissas!$B$41,0,$C$11*(Premissas!$B$39+(Premissas!$B$40-Premissas!$B$39)*$A48/36)/(1+EXP(-$K$11*($A48-$D$11-$I$11))))</f>
        <v>42.01746329535327</v>
      </c>
      <c r="AM48" s="77">
        <f>(AL48*$B$11+IF($A48&gt;=Premissas!$B$46+$D$11,$F$11,0))*(1-$E$11)*(1-Premissas!$B$60)</f>
        <v>7537.932915186375</v>
      </c>
      <c r="AN48" s="77">
        <f>-(AL48*$J$11+MAX(0,AL48-AL47)*$H$11+IF($A48-$D$11&lt;=2,Premissas!$B$49,IF($A48-$D$11&lt;=5,Premissas!$B$50,IF($A48-$D$11&lt;=8,Premissas!$B$51,$G$11)))+IF($A48=1+$D$11,Premissas!$B$55,IF($A48=3+$D$11,Premissas!$B$56,IF($A48=6+$D$11,Premissas!$B$57,0))))</f>
        <v>-31865.6066231725</v>
      </c>
      <c r="AO48" s="77">
        <f>AM48+AN48</f>
        <v>-24327.673707986127</v>
      </c>
      <c r="AP48" s="77">
        <f>AP47+AO48</f>
        <v>-158327.67370798613</v>
      </c>
      <c r="AQ48" s="78">
        <f>IF(AO48&gt;0,$A48,9999)</f>
        <v>9999.0</v>
      </c>
      <c r="AR48" s="78">
        <f>IF(AP48&gt;0,$A48,9999)</f>
        <v>9999.0</v>
      </c>
      <c r="AS48" s="76">
        <f>IF($A48-$D$12&lt;Premissas!$B$41,0,$C$12*(Premissas!$B$39+(Premissas!$B$40-Premissas!$B$39)*$A48/36)/(1+EXP(-$K$12*($A48-$D$12-$I$12))))</f>
        <v>42.01746329535327</v>
      </c>
      <c r="AT48" s="77">
        <f>(AS48*$B$12+IF($A48&gt;=Premissas!$B$46+$D$12,$F$12,0))*(1-$E$12)*(1-Premissas!$B$60)</f>
        <v>7846.761270407222</v>
      </c>
      <c r="AU48" s="77">
        <f>-(AS48*$J$12+MAX(0,AS48-AS47)*$H$12+IF($A48-$D$12&lt;=2,Premissas!$B$49,IF($A48-$D$12&lt;=5,Premissas!$B$50,IF($A48-$D$12&lt;=8,Premissas!$B$51,$G$12)))+IF($A48=1+$D$12,Premissas!$B$55,IF($A48=3+$D$12,Premissas!$B$56,IF($A48=6+$D$12,Premissas!$B$57,0))))</f>
        <v>-31865.6066231725</v>
      </c>
      <c r="AV48" s="77">
        <f>AT48+AU48</f>
        <v>-24018.845352765282</v>
      </c>
      <c r="AW48" s="77">
        <f>AW47+AV48</f>
        <v>-158018.8453527653</v>
      </c>
      <c r="AX48" s="78">
        <f>IF(AV48&gt;0,$A48,9999)</f>
        <v>9999.0</v>
      </c>
      <c r="AY48" s="78">
        <f>IF(AW48&gt;0,$A48,9999)</f>
        <v>9999.0</v>
      </c>
      <c r="AZ48" s="76">
        <f>IF($A48-$D$13&lt;Premissas!$B$41,0,$C$13*(Premissas!$B$39+(Premissas!$B$40-Premissas!$B$39)*$A48/36)/(1+EXP(-$K$13*($A48-$D$13-$I$13))))</f>
        <v>0.0</v>
      </c>
      <c r="BA48" s="77">
        <f>(AZ48*$B$13+IF($A48&gt;=Premissas!$B$46+$D$13,$F$13,0))*(1-$E$13)*(1-Premissas!$B$60)</f>
        <v>0.0</v>
      </c>
      <c r="BB48" s="77">
        <f>-(AZ48*$J$13+MAX(0,AZ48-AZ47)*$H$13+IF($A48-$D$13&lt;=2,Premissas!$B$49,IF($A48-$D$13&lt;=5,Premissas!$B$50,IF($A48-$D$13&lt;=8,Premissas!$B$51,$G$13)))+IF($A48=1+$D$13,Premissas!$B$55,IF($A48=3+$D$13,Premissas!$B$56,IF($A48=6+$D$13,Premissas!$B$57,0))))</f>
        <v>-13000.0</v>
      </c>
      <c r="BC48" s="77">
        <f>BA48+BB48</f>
        <v>-13000.0</v>
      </c>
      <c r="BD48" s="77">
        <f>BD47+BC48</f>
        <v>-43000.0</v>
      </c>
      <c r="BE48" s="78">
        <f>IF(BC48&gt;0,$A48,9999)</f>
        <v>9999.0</v>
      </c>
      <c r="BF48" s="78">
        <f>IF(BD48&gt;0,$A48,9999)</f>
        <v>9999.0</v>
      </c>
      <c r="BG48" s="76">
        <f>IF($A48-$D$14&lt;Premissas!$B$41,0,$C$14*(Premissas!$B$39+(Premissas!$B$40-Premissas!$B$39)*$A48/36)/(1+EXP(-$K$14*($A48-$D$14-$I$14))))</f>
        <v>42.01746329535327</v>
      </c>
      <c r="BH48" s="77">
        <f>(BG48*$B$14+IF($A48&gt;=Premissas!$B$46+$D$14,$F$14,0))*(1-$E$14)*(1-Premissas!$B$60)</f>
        <v>9422.41614398297</v>
      </c>
      <c r="BI48" s="77">
        <f>-(BG48*$J$14+MAX(0,BG48-BG47)*$H$14+IF($A48-$D$14&lt;=2,Premissas!$B$49,IF($A48-$D$14&lt;=5,Premissas!$B$50,IF($A48-$D$14&lt;=8,Premissas!$B$51,$G$14)))+IF($A48=1+$D$14,Premissas!$B$55,IF($A48=3+$D$14,Premissas!$B$56,IF($A48=6+$D$14,Premissas!$B$57,0))))</f>
        <v>-31865.6066231725</v>
      </c>
      <c r="BJ48" s="77">
        <f>BH48+BI48</f>
        <v>-22443.190479189532</v>
      </c>
      <c r="BK48" s="77">
        <f>BK47+BJ48</f>
        <v>-156443.19047918954</v>
      </c>
      <c r="BL48" s="78">
        <f>IF(BJ48&gt;0,$A48,9999)</f>
        <v>9999.0</v>
      </c>
      <c r="BM48" s="78">
        <f>IF(BK48&gt;0,$A48,9999)</f>
        <v>9999.0</v>
      </c>
      <c r="BN48" s="76">
        <f>IF($A48-$D$15&lt;Premissas!$B$41,0,$C$15*(Premissas!$B$39+(Premissas!$B$40-Premissas!$B$39)*$A48/36)/(1+EXP(-$K$15*($A48-$D$15-$I$15))))</f>
        <v>8.012792185587818</v>
      </c>
      <c r="BO48" s="77">
        <f>(BN48*$B$15+IF($A48&gt;=Premissas!$B$46+$D$15,$F$15,0))*(1-$E$15)*(1-Premissas!$B$60)</f>
        <v>2556.080707202514</v>
      </c>
      <c r="BP48" s="77">
        <f>-(BN48*$J$15+MAX(0,BN48-BN47)*$H$15+IF($A48-$D$15&lt;=2,Premissas!$B$49,IF($A48-$D$15&lt;=5,Premissas!$B$50,IF($A48-$D$15&lt;=8,Premissas!$B$51,$G$15)))+IF($A48=1+$D$15,Premissas!$B$55,IF($A48=3+$D$15,Premissas!$B$56,IF($A48=6+$D$15,Premissas!$B$57,0))))</f>
        <v>-31565.692522586578</v>
      </c>
      <c r="BQ48" s="77">
        <f>BO48+BP48</f>
        <v>-29009.611815384065</v>
      </c>
      <c r="BR48" s="77">
        <f>BR47+BQ48</f>
        <v>-163009.61181538407</v>
      </c>
      <c r="BS48" s="78">
        <f>IF(BQ48&gt;0,$A48,9999)</f>
        <v>9999.0</v>
      </c>
      <c r="BT48" s="78">
        <f>IF(BR48&gt;0,$A48,9999)</f>
        <v>9999.0</v>
      </c>
      <c r="BU48" s="76">
        <f>IF($A48-$D$16&lt;Premissas!$B$41,0,$C$16*(Premissas!$B$39+(Premissas!$B$40-Premissas!$B$39)*$A48/36)/(1+EXP(-$K$16*($A48-$D$16-$I$16))))</f>
        <v>16.025584371175636</v>
      </c>
      <c r="BV48" s="77">
        <f>(BU48*$B$16+IF($A48&gt;=Premissas!$B$46+$D$16,$F$16,0))*(1-$E$16)*(1-Premissas!$B$60)</f>
        <v>3322.9049193632686</v>
      </c>
      <c r="BW48" s="77">
        <f>-(BU48*$J$16+MAX(0,BU48-BU47)*$H$16+IF($A48-$D$16&lt;=2,Premissas!$B$49,IF($A48-$D$16&lt;=5,Premissas!$B$50,IF($A48-$D$16&lt;=8,Premissas!$B$51,$G$16)))+IF($A48=1+$D$16,Premissas!$B$55,IF($A48=3+$D$16,Premissas!$B$56,IF($A48=6+$D$16,Premissas!$B$57,0))))</f>
        <v>-35131.385045173156</v>
      </c>
      <c r="BX48" s="77">
        <f>BV48+BW48</f>
        <v>-31808.48012580989</v>
      </c>
      <c r="BY48" s="77">
        <f>BY47+BX48</f>
        <v>-165808.4801258099</v>
      </c>
      <c r="BZ48" s="78">
        <f>IF(BX48&gt;0,$A48,9999)</f>
        <v>9999.0</v>
      </c>
      <c r="CA48" s="78">
        <f>IF(BY48&gt;0,$A48,9999)</f>
        <v>9999.0</v>
      </c>
      <c r="CB48" s="76">
        <f>IF($A48-$D$17&lt;Premissas!$B$41,0,$C$17*(Premissas!$B$39+(Premissas!$B$40-Premissas!$B$39)*$A48/36)/(1+EXP(-$K$17*($A48-$D$17-$I$17))))</f>
        <v>0.0</v>
      </c>
      <c r="CC48" s="77">
        <f>(CB48*$B$17+IF($A48&gt;=Premissas!$B$46+$D$17,$F$17,0))*(1-$E$17)*(1-Premissas!$B$60)</f>
        <v>0.0</v>
      </c>
      <c r="CD48" s="77">
        <f>-(CB48*$J$17+MAX(0,CB48-CB47)*$H$17+IF($A48-$D$17&lt;=2,Premissas!$B$49,IF($A48-$D$17&lt;=5,Premissas!$B$50,IF($A48-$D$17&lt;=8,Premissas!$B$51,$G$17)))+IF($A48=1+$D$17,Premissas!$B$55,IF($A48=3+$D$17,Premissas!$B$56,IF($A48=6+$D$17,Premissas!$B$57,0))))</f>
        <v>-13000.0</v>
      </c>
      <c r="CE48" s="77">
        <f>CC48+CD48</f>
        <v>-13000.0</v>
      </c>
      <c r="CF48" s="77">
        <f>CF47+CE48</f>
        <v>-43000.0</v>
      </c>
      <c r="CG48" s="78">
        <f>IF(CE48&gt;0,$A48,9999)</f>
        <v>9999.0</v>
      </c>
      <c r="CH48" s="78">
        <f>IF(CF48&gt;0,$A48,9999)</f>
        <v>9999.0</v>
      </c>
    </row>
    <row r="49">
      <c r="A49" s="14" t="n">
        <v>8</v>
      </c>
      <c r="C49" s="76">
        <f>IF($A49-$D$6&lt;Premissas!$B$41,0,$C$6*(Premissas!$B$39+(Premissas!$B$40-Premissas!$B$39)*$A49/36)/(1+EXP(-$K$6*($A49-$D$6-$I$6))))</f>
        <v>21.854556802450624</v>
      </c>
      <c r="D49" s="77">
        <f>(C49*$B$6+IF($A49&gt;=Premissas!$B$46+$D$6,$F$6,0))*(1-$E$6)*(1-Premissas!$B$60)</f>
        <v>6971.603619981749</v>
      </c>
      <c r="E49" s="77">
        <f>-(C49*$J$6+MAX(0,C49-C48)*$H$6+IF($A49-$D$6&lt;=2,Premissas!$B$49,IF($A49-$D$6&lt;=5,Premissas!$B$50,IF($A49-$D$6&lt;=8,Premissas!$B$51,$G$6)))+IF($A49=1+$D$6,Premissas!$B$55,IF($A49=3+$D$6,Premissas!$B$56,IF($A49=6+$D$6,Premissas!$B$57,0))))</f>
        <v>-31315.044028620272</v>
      </c>
      <c r="F49" s="77">
        <f>D49+E49</f>
        <v>-24343.440408638522</v>
      </c>
      <c r="G49" s="77">
        <f>G48+F49</f>
        <v>-188362.66403940666</v>
      </c>
      <c r="H49" s="78">
        <f>IF(F49&gt;0,$A49,9999)</f>
        <v>9999.0</v>
      </c>
      <c r="I49" s="78">
        <f>IF(G49&gt;0,$A49,9999)</f>
        <v>9999.0</v>
      </c>
      <c r="J49" s="76">
        <f>IF($A49-$D$7&lt;Premissas!$B$41,0,$C$7*(Premissas!$B$39+(Premissas!$B$40-Premissas!$B$39)*$A49/36)/(1+EXP(-$K$7*($A49-$D$7-$I$7))))</f>
        <v>63.14184929456545</v>
      </c>
      <c r="K49" s="77">
        <f>(J49*$B$7+IF($A49&gt;=Premissas!$B$46+$D$7,$F$7,0))*(1-$E$7)*(1-Premissas!$B$60)</f>
        <v>14159.559704306303</v>
      </c>
      <c r="L49" s="77">
        <f>-(J49*$J$7+MAX(0,J49-J48)*$H$7+IF($A49-$D$7&lt;=2,Premissas!$B$49,IF($A49-$D$7&lt;=5,Premissas!$B$50,IF($A49-$D$7&lt;=8,Premissas!$B$51,$G$7)))+IF($A49=1+$D$7,Premissas!$B$55,IF($A49=3+$D$7,Premissas!$B$56,IF($A49=6+$D$7,Premissas!$B$57,0))))</f>
        <v>-31708.17697033236</v>
      </c>
      <c r="M49" s="77">
        <f>K49+L49</f>
        <v>-17548.617266026056</v>
      </c>
      <c r="N49" s="77">
        <f>N48+M49</f>
        <v>-173991.8077452156</v>
      </c>
      <c r="O49" s="78">
        <f>IF(M49&gt;0,$A49,9999)</f>
        <v>9999.0</v>
      </c>
      <c r="P49" s="78">
        <f>IF(N49&gt;0,$A49,9999)</f>
        <v>9999.0</v>
      </c>
      <c r="Q49" s="76">
        <f>IF($A49-$D$8&lt;Premissas!$B$41,0,$C$8*(Premissas!$B$39+(Premissas!$B$40-Premissas!$B$39)*$A49/36)/(1+EXP(-$K$8*($A49-$D$8-$I$8))))</f>
        <v>63.14184929456545</v>
      </c>
      <c r="R49" s="77">
        <f>(Q49*$B$8+IF($A49&gt;=Premissas!$B$46+$D$8,$F$8,0))*(1-$E$8)*(1-Premissas!$B$60)</f>
        <v>18879.41293907507</v>
      </c>
      <c r="S49" s="77">
        <f>-(Q49*$J$8+MAX(0,Q49-Q48)*$H$8+IF($A49-$D$8&lt;=2,Premissas!$B$49,IF($A49-$D$8&lt;=5,Premissas!$B$50,IF($A49-$D$8&lt;=8,Premissas!$B$51,$G$8)))+IF($A49=1+$D$8,Premissas!$B$55,IF($A49=3+$D$8,Premissas!$B$56,IF($A49=6+$D$8,Premissas!$B$57,0))))</f>
        <v>-31708.17697033236</v>
      </c>
      <c r="T49" s="77">
        <f>R49+S49</f>
        <v>-12828.764031257288</v>
      </c>
      <c r="U49" s="77">
        <f>U48+T49</f>
        <v>-166131.14912911915</v>
      </c>
      <c r="V49" s="78">
        <f>IF(T49&gt;0,$A49,9999)</f>
        <v>9999.0</v>
      </c>
      <c r="W49" s="78">
        <f>IF(U49&gt;0,$A49,9999)</f>
        <v>9999.0</v>
      </c>
      <c r="X49" s="76">
        <f>IF($A49-$D$9&lt;Premissas!$B$41,0,$C$9*(Premissas!$B$39+(Premissas!$B$40-Premissas!$B$39)*$A49/36)/(1+EXP(-$K$9*($A49-$D$9-$I$9))))</f>
        <v>63.14184929456545</v>
      </c>
      <c r="Y49" s="77">
        <f>(X49*$B$9+IF($A49&gt;=Premissas!$B$46+$D$9,$F$9,0))*(1-$E$9)*(1-Premissas!$B$60)</f>
        <v>15103.530351260059</v>
      </c>
      <c r="Z49" s="77">
        <f>-(X49*$J$9+MAX(0,X49-X48)*$H$9+IF($A49-$D$9&lt;=2,Premissas!$B$49,IF($A49-$D$9&lt;=5,Premissas!$B$50,IF($A49-$D$9&lt;=8,Premissas!$B$51,$G$9)))+IF($A49=1+$D$9,Premissas!$B$55,IF($A49=3+$D$9,Premissas!$B$56,IF($A49=6+$D$9,Premissas!$B$57,0))))</f>
        <v>-31708.17697033236</v>
      </c>
      <c r="AA49" s="77">
        <f>Y49+Z49</f>
        <v>-16604.6466190723</v>
      </c>
      <c r="AB49" s="77">
        <f>AB48+AA49</f>
        <v>-172419.6760219963</v>
      </c>
      <c r="AC49" s="78">
        <f>IF(AA49&gt;0,$A49,9999)</f>
        <v>9999.0</v>
      </c>
      <c r="AD49" s="78">
        <f>IF(AB49&gt;0,$A49,9999)</f>
        <v>9999.0</v>
      </c>
      <c r="AE49" s="76">
        <f>IF($A49-$D$10&lt;Premissas!$B$41,0,$C$10*(Premissas!$B$39+(Premissas!$B$40-Premissas!$B$39)*$A49/36)/(1+EXP(-$K$10*($A49-$D$10-$I$10))))</f>
        <v>63.14184929456545</v>
      </c>
      <c r="AF49" s="77">
        <f>(AE49*$B$10+IF($A49&gt;=Premissas!$B$46+$D$10,$F$10,0))*(1-$E$10)*(1-Premissas!$B$60)</f>
        <v>13215.589057352548</v>
      </c>
      <c r="AG49" s="77">
        <f>-(AE49*$J$10+MAX(0,AE49-AE48)*$H$10+IF($A49-$D$10&lt;=2,Premissas!$B$49,IF($A49-$D$10&lt;=5,Premissas!$B$50,IF($A49-$D$10&lt;=8,Premissas!$B$51,$G$10)))+IF($A49=1+$D$10,Premissas!$B$55,IF($A49=3+$D$10,Premissas!$B$56,IF($A49=6+$D$10,Premissas!$B$57,0))))</f>
        <v>-31708.17697033236</v>
      </c>
      <c r="AH49" s="77">
        <f>AF49+AG49</f>
        <v>-18492.587912979812</v>
      </c>
      <c r="AI49" s="77">
        <f>AI48+AH49</f>
        <v>-175563.9394684349</v>
      </c>
      <c r="AJ49" s="78">
        <f>IF(AH49&gt;0,$A49,9999)</f>
        <v>9999.0</v>
      </c>
      <c r="AK49" s="78">
        <f>IF(AI49&gt;0,$A49,9999)</f>
        <v>9999.0</v>
      </c>
      <c r="AL49" s="76">
        <f>IF($A49-$D$11&lt;Premissas!$B$41,0,$C$11*(Premissas!$B$39+(Premissas!$B$40-Premissas!$B$39)*$A49/36)/(1+EXP(-$K$11*($A49-$D$11-$I$11))))</f>
        <v>63.14184929456545</v>
      </c>
      <c r="AM49" s="77">
        <f>(AL49*$B$11+IF($A49&gt;=Premissas!$B$46+$D$11,$F$11,0))*(1-$E$11)*(1-Premissas!$B$60)</f>
        <v>11327.647763445042</v>
      </c>
      <c r="AN49" s="77">
        <f>-(AL49*$J$11+MAX(0,AL49-AL48)*$H$11+IF($A49-$D$11&lt;=2,Premissas!$B$49,IF($A49-$D$11&lt;=5,Premissas!$B$50,IF($A49-$D$11&lt;=8,Premissas!$B$51,$G$11)))+IF($A49=1+$D$11,Premissas!$B$55,IF($A49=3+$D$11,Premissas!$B$56,IF($A49=6+$D$11,Premissas!$B$57,0))))</f>
        <v>-31708.17697033236</v>
      </c>
      <c r="AO49" s="77">
        <f>AM49+AN49</f>
        <v>-20380.529206887317</v>
      </c>
      <c r="AP49" s="77">
        <f>AP48+AO49</f>
        <v>-178708.20291487346</v>
      </c>
      <c r="AQ49" s="78">
        <f>IF(AO49&gt;0,$A49,9999)</f>
        <v>9999.0</v>
      </c>
      <c r="AR49" s="78">
        <f>IF(AP49&gt;0,$A49,9999)</f>
        <v>9999.0</v>
      </c>
      <c r="AS49" s="76">
        <f>IF($A49-$D$12&lt;Premissas!$B$41,0,$C$12*(Premissas!$B$39+(Premissas!$B$40-Premissas!$B$39)*$A49/36)/(1+EXP(-$K$12*($A49-$D$12-$I$12))))</f>
        <v>63.14184929456545</v>
      </c>
      <c r="AT49" s="77">
        <f>(AS49*$B$12+IF($A49&gt;=Premissas!$B$46+$D$12,$F$12,0))*(1-$E$12)*(1-Premissas!$B$60)</f>
        <v>11791.7403557601</v>
      </c>
      <c r="AU49" s="77">
        <f>-(AS49*$J$12+MAX(0,AS49-AS48)*$H$12+IF($A49-$D$12&lt;=2,Premissas!$B$49,IF($A49-$D$12&lt;=5,Premissas!$B$50,IF($A49-$D$12&lt;=8,Premissas!$B$51,$G$12)))+IF($A49=1+$D$12,Premissas!$B$55,IF($A49=3+$D$12,Premissas!$B$56,IF($A49=6+$D$12,Premissas!$B$57,0))))</f>
        <v>-31708.17697033236</v>
      </c>
      <c r="AV49" s="77">
        <f>AT49+AU49</f>
        <v>-19916.43661457226</v>
      </c>
      <c r="AW49" s="77">
        <f>AW48+AV49</f>
        <v>-177935.28196733753</v>
      </c>
      <c r="AX49" s="78">
        <f>IF(AV49&gt;0,$A49,9999)</f>
        <v>9999.0</v>
      </c>
      <c r="AY49" s="78">
        <f>IF(AW49&gt;0,$A49,9999)</f>
        <v>9999.0</v>
      </c>
      <c r="AZ49" s="76">
        <f>IF($A49-$D$13&lt;Premissas!$B$41,0,$C$13*(Premissas!$B$39+(Premissas!$B$40-Premissas!$B$39)*$A49/36)/(1+EXP(-$K$13*($A49-$D$13-$I$13))))</f>
        <v>0.0</v>
      </c>
      <c r="BA49" s="77">
        <f>(AZ49*$B$13+IF($A49&gt;=Premissas!$B$46+$D$13,$F$13,0))*(1-$E$13)*(1-Premissas!$B$60)</f>
        <v>0.0</v>
      </c>
      <c r="BB49" s="77">
        <f>-(AZ49*$J$13+MAX(0,AZ49-AZ48)*$H$13+IF($A49-$D$13&lt;=2,Premissas!$B$49,IF($A49-$D$13&lt;=5,Premissas!$B$50,IF($A49-$D$13&lt;=8,Premissas!$B$51,$G$13)))+IF($A49=1+$D$13,Premissas!$B$55,IF($A49=3+$D$13,Premissas!$B$56,IF($A49=6+$D$13,Premissas!$B$57,0))))</f>
        <v>-5000.0</v>
      </c>
      <c r="BC49" s="77">
        <f>BA49+BB49</f>
        <v>-5000.0</v>
      </c>
      <c r="BD49" s="77">
        <f>BD48+BC49</f>
        <v>-48000.0</v>
      </c>
      <c r="BE49" s="78">
        <f>IF(BC49&gt;0,$A49,9999)</f>
        <v>9999.0</v>
      </c>
      <c r="BF49" s="78">
        <f>IF(BD49&gt;0,$A49,9999)</f>
        <v>9999.0</v>
      </c>
      <c r="BG49" s="76">
        <f>IF($A49-$D$14&lt;Premissas!$B$41,0,$C$14*(Premissas!$B$39+(Premissas!$B$40-Premissas!$B$39)*$A49/36)/(1+EXP(-$K$14*($A49-$D$14-$I$14))))</f>
        <v>63.14184929456545</v>
      </c>
      <c r="BH49" s="77">
        <f>(BG49*$B$14+IF($A49&gt;=Premissas!$B$46+$D$14,$F$14,0))*(1-$E$14)*(1-Premissas!$B$60)</f>
        <v>14159.559704306303</v>
      </c>
      <c r="BI49" s="77">
        <f>-(BG49*$J$14+MAX(0,BG49-BG48)*$H$14+IF($A49-$D$14&lt;=2,Premissas!$B$49,IF($A49-$D$14&lt;=5,Premissas!$B$50,IF($A49-$D$14&lt;=8,Premissas!$B$51,$G$14)))+IF($A49=1+$D$14,Premissas!$B$55,IF($A49=3+$D$14,Premissas!$B$56,IF($A49=6+$D$14,Premissas!$B$57,0))))</f>
        <v>-31708.17697033236</v>
      </c>
      <c r="BJ49" s="77">
        <f>BH49+BI49</f>
        <v>-17548.617266026056</v>
      </c>
      <c r="BK49" s="77">
        <f>BK48+BJ49</f>
        <v>-173991.8077452156</v>
      </c>
      <c r="BL49" s="78">
        <f>IF(BJ49&gt;0,$A49,9999)</f>
        <v>9999.0</v>
      </c>
      <c r="BM49" s="78">
        <f>IF(BK49&gt;0,$A49,9999)</f>
        <v>9999.0</v>
      </c>
      <c r="BN49" s="76">
        <f>IF($A49-$D$15&lt;Premissas!$B$41,0,$C$15*(Premissas!$B$39+(Premissas!$B$40-Premissas!$B$39)*$A49/36)/(1+EXP(-$K$15*($A49-$D$15-$I$15))))</f>
        <v>10.927278401225312</v>
      </c>
      <c r="BO49" s="77">
        <f>(BN49*$B$15+IF($A49&gt;=Premissas!$B$46+$D$15,$F$15,0))*(1-$E$15)*(1-Premissas!$B$60)</f>
        <v>3485.8018099908745</v>
      </c>
      <c r="BP49" s="77">
        <f>-(BN49*$J$15+MAX(0,BN49-BN48)*$H$15+IF($A49-$D$15&lt;=2,Premissas!$B$49,IF($A49-$D$15&lt;=5,Premissas!$B$50,IF($A49-$D$15&lt;=8,Premissas!$B$51,$G$15)))+IF($A49=1+$D$15,Premissas!$B$55,IF($A49=3+$D$15,Premissas!$B$56,IF($A49=6+$D$15,Premissas!$B$57,0))))</f>
        <v>-29657.522014310136</v>
      </c>
      <c r="BQ49" s="77">
        <f>BO49+BP49</f>
        <v>-26171.720204319263</v>
      </c>
      <c r="BR49" s="77">
        <f>BR48+BQ49</f>
        <v>-189181.33201970332</v>
      </c>
      <c r="BS49" s="78">
        <f>IF(BQ49&gt;0,$A49,9999)</f>
        <v>9999.0</v>
      </c>
      <c r="BT49" s="78">
        <f>IF(BR49&gt;0,$A49,9999)</f>
        <v>9999.0</v>
      </c>
      <c r="BU49" s="76">
        <f>IF($A49-$D$16&lt;Premissas!$B$41,0,$C$16*(Premissas!$B$39+(Premissas!$B$40-Premissas!$B$39)*$A49/36)/(1+EXP(-$K$16*($A49-$D$16-$I$16))))</f>
        <v>21.854556802450624</v>
      </c>
      <c r="BV49" s="77">
        <f>(BU49*$B$16+IF($A49&gt;=Premissas!$B$46+$D$16,$F$16,0))*(1-$E$16)*(1-Premissas!$B$60)</f>
        <v>4531.542352988137</v>
      </c>
      <c r="BW49" s="77">
        <f>-(BU49*$J$16+MAX(0,BU49-BU48)*$H$16+IF($A49-$D$16&lt;=2,Premissas!$B$49,IF($A49-$D$16&lt;=5,Premissas!$B$50,IF($A49-$D$16&lt;=8,Premissas!$B$51,$G$16)))+IF($A49=1+$D$16,Premissas!$B$55,IF($A49=3+$D$16,Premissas!$B$56,IF($A49=6+$D$16,Premissas!$B$57,0))))</f>
        <v>-31315.044028620272</v>
      </c>
      <c r="BX49" s="77">
        <f>BV49+BW49</f>
        <v>-26783.501675632135</v>
      </c>
      <c r="BY49" s="77">
        <f>BY48+BX49</f>
        <v>-192591.98180144205</v>
      </c>
      <c r="BZ49" s="78">
        <f>IF(BX49&gt;0,$A49,9999)</f>
        <v>9999.0</v>
      </c>
      <c r="CA49" s="78">
        <f>IF(BY49&gt;0,$A49,9999)</f>
        <v>9999.0</v>
      </c>
      <c r="CB49" s="76">
        <f>IF($A49-$D$17&lt;Premissas!$B$41,0,$C$17*(Premissas!$B$39+(Premissas!$B$40-Premissas!$B$39)*$A49/36)/(1+EXP(-$K$17*($A49-$D$17-$I$17))))</f>
        <v>0.0</v>
      </c>
      <c r="CC49" s="77">
        <f>(CB49*$B$17+IF($A49&gt;=Premissas!$B$46+$D$17,$F$17,0))*(1-$E$17)*(1-Premissas!$B$60)</f>
        <v>0.0</v>
      </c>
      <c r="CD49" s="77">
        <f>-(CB49*$J$17+MAX(0,CB49-CB48)*$H$17+IF($A49-$D$17&lt;=2,Premissas!$B$49,IF($A49-$D$17&lt;=5,Premissas!$B$50,IF($A49-$D$17&lt;=8,Premissas!$B$51,$G$17)))+IF($A49=1+$D$17,Premissas!$B$55,IF($A49=3+$D$17,Premissas!$B$56,IF($A49=6+$D$17,Premissas!$B$57,0))))</f>
        <v>-5000.0</v>
      </c>
      <c r="CE49" s="77">
        <f>CC49+CD49</f>
        <v>-5000.0</v>
      </c>
      <c r="CF49" s="77">
        <f>CF48+CE49</f>
        <v>-48000.0</v>
      </c>
      <c r="CG49" s="78">
        <f>IF(CE49&gt;0,$A49,9999)</f>
        <v>9999.0</v>
      </c>
      <c r="CH49" s="78">
        <f>IF(CF49&gt;0,$A49,9999)</f>
        <v>9999.0</v>
      </c>
    </row>
    <row r="50">
      <c r="A50" s="14" t="n">
        <v>9</v>
      </c>
      <c r="C50" s="76">
        <f>IF($A50-$D$6&lt;Premissas!$B$41,0,$C$6*(Premissas!$B$39+(Premissas!$B$40-Premissas!$B$39)*$A50/36)/(1+EXP(-$K$6*($A50-$D$6-$I$6))))</f>
        <v>29.5971033244805</v>
      </c>
      <c r="D50" s="77">
        <f>(C50*$B$6+IF($A50&gt;=Premissas!$B$46+$D$6,$F$6,0))*(1-$E$6)*(1-Premissas!$B$60)</f>
        <v>19441.475960509277</v>
      </c>
      <c r="E50" s="77">
        <f>-(C50*$J$6+MAX(0,C50-C49)*$H$6+IF($A50-$D$6&lt;=2,Premissas!$B$49,IF($A50-$D$6&lt;=5,Premissas!$B$50,IF($A50-$D$6&lt;=8,Premissas!$B$51,$G$6)))+IF($A50=1+$D$6,Premissas!$B$55,IF($A50=3+$D$6,Premissas!$B$56,IF($A50=6+$D$6,Premissas!$B$57,0))))</f>
        <v>-39428.88825841357</v>
      </c>
      <c r="F50" s="77">
        <f>D50+E50</f>
        <v>-19987.412297904295</v>
      </c>
      <c r="G50" s="77">
        <f>G49+F50</f>
        <v>-208350.07633731095</v>
      </c>
      <c r="H50" s="78">
        <f>IF(F50&gt;0,$A50,9999)</f>
        <v>9999.0</v>
      </c>
      <c r="I50" s="78">
        <f>IF(G50&gt;0,$A50,9999)</f>
        <v>9999.0</v>
      </c>
      <c r="J50" s="76">
        <f>IF($A50-$D$7&lt;Premissas!$B$41,0,$C$7*(Premissas!$B$39+(Premissas!$B$40-Premissas!$B$39)*$A50/36)/(1+EXP(-$K$7*($A50-$D$7-$I$7))))</f>
        <v>92.5567457820584</v>
      </c>
      <c r="K50" s="77">
        <f>(J50*$B$7+IF($A50&gt;=Premissas!$B$46+$D$7,$F$7,0))*(1-$E$7)*(1-Premissas!$B$60)</f>
        <v>28255.8502416266</v>
      </c>
      <c r="L50" s="77">
        <f>-(J50*$J$7+MAX(0,J50-J49)*$H$7+IF($A50-$D$7&lt;=2,Premissas!$B$49,IF($A50-$D$7&lt;=5,Premissas!$B$50,IF($A50-$D$7&lt;=8,Premissas!$B$51,$G$7)))+IF($A50=1+$D$7,Premissas!$B$55,IF($A50=3+$D$7,Premissas!$B$56,IF($A50=6+$D$7,Premissas!$B$57,0))))</f>
        <v>-40358.1281472211</v>
      </c>
      <c r="M50" s="77">
        <f>K50+L50</f>
        <v>-12102.2779055945</v>
      </c>
      <c r="N50" s="77">
        <f>N49+M50</f>
        <v>-186094.0856508101</v>
      </c>
      <c r="O50" s="78">
        <f>IF(M50&gt;0,$A50,9999)</f>
        <v>9999.0</v>
      </c>
      <c r="P50" s="78">
        <f>IF(N50&gt;0,$A50,9999)</f>
        <v>9999.0</v>
      </c>
      <c r="Q50" s="76">
        <f>IF($A50-$D$8&lt;Premissas!$B$41,0,$C$8*(Premissas!$B$39+(Premissas!$B$40-Premissas!$B$39)*$A50/36)/(1+EXP(-$K$8*($A50-$D$8-$I$8))))</f>
        <v>92.5567457820584</v>
      </c>
      <c r="R50" s="77">
        <f>(Q50*$B$8+IF($A50&gt;=Premissas!$B$46+$D$8,$F$8,0))*(1-$E$8)*(1-Premissas!$B$60)</f>
        <v>37674.46698883546</v>
      </c>
      <c r="S50" s="77">
        <f>-(Q50*$J$8+MAX(0,Q50-Q49)*$H$8+IF($A50-$D$8&lt;=2,Premissas!$B$49,IF($A50-$D$8&lt;=5,Premissas!$B$50,IF($A50-$D$8&lt;=8,Premissas!$B$51,$G$8)))+IF($A50=1+$D$8,Premissas!$B$55,IF($A50=3+$D$8,Premissas!$B$56,IF($A50=6+$D$8,Premissas!$B$57,0))))</f>
        <v>-40358.1281472211</v>
      </c>
      <c r="T50" s="77">
        <f>R50+S50</f>
        <v>-2683.6611583856356</v>
      </c>
      <c r="U50" s="77">
        <f>U49+T50</f>
        <v>-168814.81028750478</v>
      </c>
      <c r="V50" s="78">
        <f>IF(T50&gt;0,$A50,9999)</f>
        <v>9999.0</v>
      </c>
      <c r="W50" s="78">
        <f>IF(U50&gt;0,$A50,9999)</f>
        <v>9999.0</v>
      </c>
      <c r="X50" s="76">
        <f>IF($A50-$D$9&lt;Premissas!$B$41,0,$C$9*(Premissas!$B$39+(Premissas!$B$40-Premissas!$B$39)*$A50/36)/(1+EXP(-$K$9*($A50-$D$9-$I$9))))</f>
        <v>92.5567457820584</v>
      </c>
      <c r="Y50" s="77">
        <f>(X50*$B$9+IF($A50&gt;=Premissas!$B$46+$D$9,$F$9,0))*(1-$E$9)*(1-Premissas!$B$60)</f>
        <v>30139.573591068372</v>
      </c>
      <c r="Z50" s="77">
        <f>-(X50*$J$9+MAX(0,X50-X49)*$H$9+IF($A50-$D$9&lt;=2,Premissas!$B$49,IF($A50-$D$9&lt;=5,Premissas!$B$50,IF($A50-$D$9&lt;=8,Premissas!$B$51,$G$9)))+IF($A50=1+$D$9,Premissas!$B$55,IF($A50=3+$D$9,Premissas!$B$56,IF($A50=6+$D$9,Premissas!$B$57,0))))</f>
        <v>-40358.1281472211</v>
      </c>
      <c r="AA50" s="77">
        <f>Y50+Z50</f>
        <v>-10218.554556152725</v>
      </c>
      <c r="AB50" s="77">
        <f>AB49+AA50</f>
        <v>-182638.23057814903</v>
      </c>
      <c r="AC50" s="78">
        <f>IF(AA50&gt;0,$A50,9999)</f>
        <v>9999.0</v>
      </c>
      <c r="AD50" s="78">
        <f>IF(AB50&gt;0,$A50,9999)</f>
        <v>9999.0</v>
      </c>
      <c r="AE50" s="76">
        <f>IF($A50-$D$10&lt;Premissas!$B$41,0,$C$10*(Premissas!$B$39+(Premissas!$B$40-Premissas!$B$39)*$A50/36)/(1+EXP(-$K$10*($A50-$D$10-$I$10))))</f>
        <v>92.5567457820584</v>
      </c>
      <c r="AF50" s="77">
        <f>(AE50*$B$10+IF($A50&gt;=Premissas!$B$46+$D$10,$F$10,0))*(1-$E$10)*(1-Premissas!$B$60)</f>
        <v>26372.12689218482</v>
      </c>
      <c r="AG50" s="77">
        <f>-(AE50*$J$10+MAX(0,AE50-AE49)*$H$10+IF($A50-$D$10&lt;=2,Premissas!$B$49,IF($A50-$D$10&lt;=5,Premissas!$B$50,IF($A50-$D$10&lt;=8,Premissas!$B$51,$G$10)))+IF($A50=1+$D$10,Premissas!$B$55,IF($A50=3+$D$10,Premissas!$B$56,IF($A50=6+$D$10,Premissas!$B$57,0))))</f>
        <v>-40358.1281472211</v>
      </c>
      <c r="AH50" s="77">
        <f>AF50+AG50</f>
        <v>-13986.001255036277</v>
      </c>
      <c r="AI50" s="77">
        <f>AI49+AH50</f>
        <v>-189549.94072347117</v>
      </c>
      <c r="AJ50" s="78">
        <f>IF(AH50&gt;0,$A50,9999)</f>
        <v>9999.0</v>
      </c>
      <c r="AK50" s="78">
        <f>IF(AI50&gt;0,$A50,9999)</f>
        <v>9999.0</v>
      </c>
      <c r="AL50" s="76">
        <f>IF($A50-$D$11&lt;Premissas!$B$41,0,$C$11*(Premissas!$B$39+(Premissas!$B$40-Premissas!$B$39)*$A50/36)/(1+EXP(-$K$11*($A50-$D$11-$I$11))))</f>
        <v>92.5567457820584</v>
      </c>
      <c r="AM50" s="77">
        <f>(AL50*$B$11+IF($A50&gt;=Premissas!$B$46+$D$11,$F$11,0))*(1-$E$11)*(1-Premissas!$B$60)</f>
        <v>22604.680193301276</v>
      </c>
      <c r="AN50" s="77">
        <f>-(AL50*$J$11+MAX(0,AL50-AL49)*$H$11+IF($A50-$D$11&lt;=2,Premissas!$B$49,IF($A50-$D$11&lt;=5,Premissas!$B$50,IF($A50-$D$11&lt;=8,Premissas!$B$51,$G$11)))+IF($A50=1+$D$11,Premissas!$B$55,IF($A50=3+$D$11,Premissas!$B$56,IF($A50=6+$D$11,Premissas!$B$57,0))))</f>
        <v>-40358.1281472211</v>
      </c>
      <c r="AO50" s="77">
        <f>AM50+AN50</f>
        <v>-17753.447953919822</v>
      </c>
      <c r="AP50" s="77">
        <f>AP49+AO50</f>
        <v>-196461.65086879328</v>
      </c>
      <c r="AQ50" s="78">
        <f>IF(AO50&gt;0,$A50,9999)</f>
        <v>9999.0</v>
      </c>
      <c r="AR50" s="78">
        <f>IF(AP50&gt;0,$A50,9999)</f>
        <v>9999.0</v>
      </c>
      <c r="AS50" s="76">
        <f>IF($A50-$D$12&lt;Premissas!$B$41,0,$C$12*(Premissas!$B$39+(Premissas!$B$40-Premissas!$B$39)*$A50/36)/(1+EXP(-$K$12*($A50-$D$12-$I$12))))</f>
        <v>92.5567457820584</v>
      </c>
      <c r="AT50" s="77">
        <f>(AS50*$B$12+IF($A50&gt;=Premissas!$B$46+$D$12,$F$12,0))*(1-$E$12)*(1-Premissas!$B$60)</f>
        <v>24784.972274799406</v>
      </c>
      <c r="AU50" s="77">
        <f>-(AS50*$J$12+MAX(0,AS50-AS49)*$H$12+IF($A50-$D$12&lt;=2,Premissas!$B$49,IF($A50-$D$12&lt;=5,Premissas!$B$50,IF($A50-$D$12&lt;=8,Premissas!$B$51,$G$12)))+IF($A50=1+$D$12,Premissas!$B$55,IF($A50=3+$D$12,Premissas!$B$56,IF($A50=6+$D$12,Premissas!$B$57,0))))</f>
        <v>-40358.1281472211</v>
      </c>
      <c r="AV50" s="77">
        <f>AT50+AU50</f>
        <v>-15573.155872421692</v>
      </c>
      <c r="AW50" s="77">
        <f>AW49+AV50</f>
        <v>-193508.43783975922</v>
      </c>
      <c r="AX50" s="78">
        <f>IF(AV50&gt;0,$A50,9999)</f>
        <v>9999.0</v>
      </c>
      <c r="AY50" s="78">
        <f>IF(AW50&gt;0,$A50,9999)</f>
        <v>9999.0</v>
      </c>
      <c r="AZ50" s="76">
        <f>IF($A50-$D$13&lt;Premissas!$B$41,0,$C$13*(Premissas!$B$39+(Premissas!$B$40-Premissas!$B$39)*$A50/36)/(1+EXP(-$K$13*($A50-$D$13-$I$13))))</f>
        <v>0.0</v>
      </c>
      <c r="BA50" s="77">
        <f>(AZ50*$B$13+IF($A50&gt;=Premissas!$B$46+$D$13,$F$13,0))*(1-$E$13)*(1-Premissas!$B$60)</f>
        <v>0.0</v>
      </c>
      <c r="BB50" s="77">
        <f>-(AZ50*$J$13+MAX(0,AZ50-AZ49)*$H$13+IF($A50-$D$13&lt;=2,Premissas!$B$49,IF($A50-$D$13&lt;=5,Premissas!$B$50,IF($A50-$D$13&lt;=8,Premissas!$B$51,$G$13)))+IF($A50=1+$D$13,Premissas!$B$55,IF($A50=3+$D$13,Premissas!$B$56,IF($A50=6+$D$13,Premissas!$B$57,0))))</f>
        <v>-34000.0</v>
      </c>
      <c r="BC50" s="77">
        <f>BA50+BB50</f>
        <v>-34000.0</v>
      </c>
      <c r="BD50" s="77">
        <f>BD49+BC50</f>
        <v>-82000.0</v>
      </c>
      <c r="BE50" s="78">
        <f>IF(BC50&gt;0,$A50,9999)</f>
        <v>9999.0</v>
      </c>
      <c r="BF50" s="78">
        <f>IF(BD50&gt;0,$A50,9999)</f>
        <v>9999.0</v>
      </c>
      <c r="BG50" s="76">
        <f>IF($A50-$D$14&lt;Premissas!$B$41,0,$C$14*(Premissas!$B$39+(Premissas!$B$40-Premissas!$B$39)*$A50/36)/(1+EXP(-$K$14*($A50-$D$14-$I$14))))</f>
        <v>92.5567457820584</v>
      </c>
      <c r="BH50" s="77">
        <f>(BG50*$B$14+IF($A50&gt;=Premissas!$B$46+$D$14,$F$14,0))*(1-$E$14)*(1-Premissas!$B$60)</f>
        <v>28255.8502416266</v>
      </c>
      <c r="BI50" s="77">
        <f>-(BG50*$J$14+MAX(0,BG50-BG49)*$H$14+IF($A50-$D$14&lt;=2,Premissas!$B$49,IF($A50-$D$14&lt;=5,Premissas!$B$50,IF($A50-$D$14&lt;=8,Premissas!$B$51,$G$14)))+IF($A50=1+$D$14,Premissas!$B$55,IF($A50=3+$D$14,Premissas!$B$56,IF($A50=6+$D$14,Premissas!$B$57,0))))</f>
        <v>-30358.1281472211</v>
      </c>
      <c r="BJ50" s="77">
        <f>BH50+BI50</f>
        <v>-2102.277905594503</v>
      </c>
      <c r="BK50" s="77">
        <f>BK49+BJ50</f>
        <v>-176094.0856508101</v>
      </c>
      <c r="BL50" s="78">
        <f>IF(BJ50&gt;0,$A50,9999)</f>
        <v>9999.0</v>
      </c>
      <c r="BM50" s="78">
        <f>IF(BK50&gt;0,$A50,9999)</f>
        <v>9999.0</v>
      </c>
      <c r="BN50" s="76">
        <f>IF($A50-$D$15&lt;Premissas!$B$41,0,$C$15*(Premissas!$B$39+(Premissas!$B$40-Premissas!$B$39)*$A50/36)/(1+EXP(-$K$15*($A50-$D$15-$I$15))))</f>
        <v>14.79855166224025</v>
      </c>
      <c r="BO50" s="77">
        <f>(BN50*$B$15+IF($A50&gt;=Premissas!$B$46+$D$15,$F$15,0))*(1-$E$15)*(1-Premissas!$B$60)</f>
        <v>14720.737980254638</v>
      </c>
      <c r="BP50" s="77">
        <f>-(BN50*$J$15+MAX(0,BN50-BN49)*$H$15+IF($A50-$D$15&lt;=2,Premissas!$B$49,IF($A50-$D$15&lt;=5,Premissas!$B$50,IF($A50-$D$15&lt;=8,Premissas!$B$51,$G$15)))+IF($A50=1+$D$15,Premissas!$B$55,IF($A50=3+$D$15,Premissas!$B$56,IF($A50=6+$D$15,Premissas!$B$57,0))))</f>
        <v>-37214.444129206786</v>
      </c>
      <c r="BQ50" s="77">
        <f>BO50+BP50</f>
        <v>-22493.706148952147</v>
      </c>
      <c r="BR50" s="77">
        <f>BR49+BQ50</f>
        <v>-211675.03816865548</v>
      </c>
      <c r="BS50" s="78">
        <f>IF(BQ50&gt;0,$A50,9999)</f>
        <v>9999.0</v>
      </c>
      <c r="BT50" s="78">
        <f>IF(BR50&gt;0,$A50,9999)</f>
        <v>9999.0</v>
      </c>
      <c r="BU50" s="76">
        <f>IF($A50-$D$16&lt;Premissas!$B$41,0,$C$16*(Premissas!$B$39+(Premissas!$B$40-Premissas!$B$39)*$A50/36)/(1+EXP(-$K$16*($A50-$D$16-$I$16))))</f>
        <v>29.5971033244805</v>
      </c>
      <c r="BV50" s="77">
        <f>(BU50*$B$16+IF($A50&gt;=Premissas!$B$46+$D$16,$F$16,0))*(1-$E$16)*(1-Premissas!$B$60)</f>
        <v>12636.95937433103</v>
      </c>
      <c r="BW50" s="77">
        <f>-(BU50*$J$16+MAX(0,BU50-BU49)*$H$16+IF($A50-$D$16&lt;=2,Premissas!$B$49,IF($A50-$D$16&lt;=5,Premissas!$B$50,IF($A50-$D$16&lt;=8,Premissas!$B$51,$G$16)))+IF($A50=1+$D$16,Premissas!$B$55,IF($A50=3+$D$16,Premissas!$B$56,IF($A50=6+$D$16,Premissas!$B$57,0))))</f>
        <v>-39428.88825841357</v>
      </c>
      <c r="BX50" s="77">
        <f>BV50+BW50</f>
        <v>-26791.92888408254</v>
      </c>
      <c r="BY50" s="77">
        <f>BY49+BX50</f>
        <v>-219383.91068552458</v>
      </c>
      <c r="BZ50" s="78">
        <f>IF(BX50&gt;0,$A50,9999)</f>
        <v>9999.0</v>
      </c>
      <c r="CA50" s="78">
        <f>IF(BY50&gt;0,$A50,9999)</f>
        <v>9999.0</v>
      </c>
      <c r="CB50" s="76">
        <f>IF($A50-$D$17&lt;Premissas!$B$41,0,$C$17*(Premissas!$B$39+(Premissas!$B$40-Premissas!$B$39)*$A50/36)/(1+EXP(-$K$17*($A50-$D$17-$I$17))))</f>
        <v>0.0</v>
      </c>
      <c r="CC50" s="77">
        <f>(CB50*$B$17+IF($A50&gt;=Premissas!$B$46+$D$17,$F$17,0))*(1-$E$17)*(1-Premissas!$B$60)</f>
        <v>0.0</v>
      </c>
      <c r="CD50" s="77">
        <f>-(CB50*$J$17+MAX(0,CB50-CB49)*$H$17+IF($A50-$D$17&lt;=2,Premissas!$B$49,IF($A50-$D$17&lt;=5,Premissas!$B$50,IF($A50-$D$17&lt;=8,Premissas!$B$51,$G$17)))+IF($A50=1+$D$17,Premissas!$B$55,IF($A50=3+$D$17,Premissas!$B$56,IF($A50=6+$D$17,Premissas!$B$57,0))))</f>
        <v>-34000.0</v>
      </c>
      <c r="CE50" s="77">
        <f>CC50+CD50</f>
        <v>-34000.0</v>
      </c>
      <c r="CF50" s="77">
        <f>CF49+CE50</f>
        <v>-82000.0</v>
      </c>
      <c r="CG50" s="78">
        <f>IF(CE50&gt;0,$A50,9999)</f>
        <v>9999.0</v>
      </c>
      <c r="CH50" s="78">
        <f>IF(CF50&gt;0,$A50,9999)</f>
        <v>9999.0</v>
      </c>
    </row>
    <row r="51">
      <c r="A51" s="14" t="n">
        <v>10</v>
      </c>
      <c r="C51" s="76">
        <f>IF($A51-$D$6&lt;Premissas!$B$41,0,$C$6*(Premissas!$B$39+(Premissas!$B$40-Premissas!$B$39)*$A51/36)/(1+EXP(-$K$6*($A51-$D$6-$I$6))))</f>
        <v>39.72197143211038</v>
      </c>
      <c r="D51" s="77">
        <f>(C51*$B$6+IF($A51&gt;=Premissas!$B$46+$D$6,$F$6,0))*(1-$E$6)*(1-Premissas!$B$60)</f>
        <v>22671.30888684321</v>
      </c>
      <c r="E51" s="77">
        <f>-(C51*$J$6+MAX(0,C51-C50)*$H$6+IF($A51-$D$6&lt;=2,Premissas!$B$49,IF($A51-$D$6&lt;=5,Premissas!$B$50,IF($A51-$D$6&lt;=8,Premissas!$B$51,$G$6)))+IF($A51=1+$D$6,Premissas!$B$55,IF($A51=3+$D$6,Premissas!$B$56,IF($A51=6+$D$6,Premissas!$B$57,0))))</f>
        <v>-40837.43595749692</v>
      </c>
      <c r="F51" s="77">
        <f>D51+E51</f>
        <v>-18166.12707065371</v>
      </c>
      <c r="G51" s="77">
        <f>G50+F51</f>
        <v>-226516.20340796467</v>
      </c>
      <c r="H51" s="78">
        <f>IF(F51&gt;0,$A51,9999)</f>
        <v>9999.0</v>
      </c>
      <c r="I51" s="78">
        <f>IF(G51&gt;0,$A51,9999)</f>
        <v>9999.0</v>
      </c>
      <c r="J51" s="76">
        <f>IF($A51-$D$7&lt;Premissas!$B$41,0,$C$7*(Premissas!$B$39+(Premissas!$B$40-Premissas!$B$39)*$A51/36)/(1+EXP(-$K$7*($A51-$D$7-$I$7))))</f>
        <v>131.24257541506867</v>
      </c>
      <c r="K51" s="77">
        <f>(J51*$B$7+IF($A51&gt;=Premissas!$B$46+$D$7,$F$7,0))*(1-$E$7)*(1-Premissas!$B$60)</f>
        <v>36931.14753682915</v>
      </c>
      <c r="L51" s="77">
        <f>-(J51*$J$7+MAX(0,J51-J50)*$H$7+IF($A51-$D$7&lt;=2,Premissas!$B$49,IF($A51-$D$7&lt;=5,Premissas!$B$50,IF($A51-$D$7&lt;=8,Premissas!$B$51,$G$7)))+IF($A51=1+$D$7,Premissas!$B$55,IF($A51=3+$D$7,Premissas!$B$56,IF($A51=6+$D$7,Premissas!$B$57,0))))</f>
        <v>-42446.4796490834</v>
      </c>
      <c r="M51" s="77">
        <f>K51+L51</f>
        <v>-5515.3321122542475</v>
      </c>
      <c r="N51" s="77">
        <f>N50+M51</f>
        <v>-191609.41776306435</v>
      </c>
      <c r="O51" s="78">
        <f>IF(M51&gt;0,$A51,9999)</f>
        <v>9999.0</v>
      </c>
      <c r="P51" s="78">
        <f>IF(N51&gt;0,$A51,9999)</f>
        <v>9999.0</v>
      </c>
      <c r="Q51" s="76">
        <f>IF($A51-$D$8&lt;Premissas!$B$41,0,$C$8*(Premissas!$B$39+(Premissas!$B$40-Premissas!$B$39)*$A51/36)/(1+EXP(-$K$8*($A51-$D$8-$I$8))))</f>
        <v>131.24257541506867</v>
      </c>
      <c r="R51" s="77">
        <f>(Q51*$B$8+IF($A51&gt;=Premissas!$B$46+$D$8,$F$8,0))*(1-$E$8)*(1-Premissas!$B$60)</f>
        <v>49241.53004910553</v>
      </c>
      <c r="S51" s="77">
        <f>-(Q51*$J$8+MAX(0,Q51-Q50)*$H$8+IF($A51-$D$8&lt;=2,Premissas!$B$49,IF($A51-$D$8&lt;=5,Premissas!$B$50,IF($A51-$D$8&lt;=8,Premissas!$B$51,$G$8)))+IF($A51=1+$D$8,Premissas!$B$55,IF($A51=3+$D$8,Premissas!$B$56,IF($A51=6+$D$8,Premissas!$B$57,0))))</f>
        <v>-42446.4796490834</v>
      </c>
      <c r="T51" s="77">
        <f>R51+S51</f>
        <v>6795.0504000221335</v>
      </c>
      <c r="U51" s="77">
        <f>U50+T51</f>
        <v>-162019.75988748265</v>
      </c>
      <c r="V51" s="78">
        <f>IF(T51&gt;0,$A51,9999)</f>
        <v>10.0</v>
      </c>
      <c r="W51" s="78">
        <f>IF(U51&gt;0,$A51,9999)</f>
        <v>9999.0</v>
      </c>
      <c r="X51" s="76">
        <f>IF($A51-$D$9&lt;Premissas!$B$41,0,$C$9*(Premissas!$B$39+(Premissas!$B$40-Premissas!$B$39)*$A51/36)/(1+EXP(-$K$9*($A51-$D$9-$I$9))))</f>
        <v>131.24257541506867</v>
      </c>
      <c r="Y51" s="77">
        <f>(X51*$B$9+IF($A51&gt;=Premissas!$B$46+$D$9,$F$9,0))*(1-$E$9)*(1-Premissas!$B$60)</f>
        <v>39393.224039284425</v>
      </c>
      <c r="Z51" s="77">
        <f>-(X51*$J$9+MAX(0,X51-X50)*$H$9+IF($A51-$D$9&lt;=2,Premissas!$B$49,IF($A51-$D$9&lt;=5,Premissas!$B$50,IF($A51-$D$9&lt;=8,Premissas!$B$51,$G$9)))+IF($A51=1+$D$9,Premissas!$B$55,IF($A51=3+$D$9,Premissas!$B$56,IF($A51=6+$D$9,Premissas!$B$57,0))))</f>
        <v>-42446.4796490834</v>
      </c>
      <c r="AA51" s="77">
        <f>Y51+Z51</f>
        <v>-3053.2556097989727</v>
      </c>
      <c r="AB51" s="77">
        <f>AB50+AA51</f>
        <v>-185691.486187948</v>
      </c>
      <c r="AC51" s="78">
        <f>IF(AA51&gt;0,$A51,9999)</f>
        <v>9999.0</v>
      </c>
      <c r="AD51" s="78">
        <f>IF(AB51&gt;0,$A51,9999)</f>
        <v>9999.0</v>
      </c>
      <c r="AE51" s="76">
        <f>IF($A51-$D$10&lt;Premissas!$B$41,0,$C$10*(Premissas!$B$39+(Premissas!$B$40-Premissas!$B$39)*$A51/36)/(1+EXP(-$K$10*($A51-$D$10-$I$10))))</f>
        <v>131.24257541506867</v>
      </c>
      <c r="AF51" s="77">
        <f>(AE51*$B$10+IF($A51&gt;=Premissas!$B$46+$D$10,$F$10,0))*(1-$E$10)*(1-Premissas!$B$60)</f>
        <v>34469.07103437387</v>
      </c>
      <c r="AG51" s="77">
        <f>-(AE51*$J$10+MAX(0,AE51-AE50)*$H$10+IF($A51-$D$10&lt;=2,Premissas!$B$49,IF($A51-$D$10&lt;=5,Premissas!$B$50,IF($A51-$D$10&lt;=8,Premissas!$B$51,$G$10)))+IF($A51=1+$D$10,Premissas!$B$55,IF($A51=3+$D$10,Premissas!$B$56,IF($A51=6+$D$10,Premissas!$B$57,0))))</f>
        <v>-42446.4796490834</v>
      </c>
      <c r="AH51" s="77">
        <f>AF51+AG51</f>
        <v>-7977.4086147095295</v>
      </c>
      <c r="AI51" s="77">
        <f>AI50+AH51</f>
        <v>-197527.3493381807</v>
      </c>
      <c r="AJ51" s="78">
        <f>IF(AH51&gt;0,$A51,9999)</f>
        <v>9999.0</v>
      </c>
      <c r="AK51" s="78">
        <f>IF(AI51&gt;0,$A51,9999)</f>
        <v>9999.0</v>
      </c>
      <c r="AL51" s="76">
        <f>IF($A51-$D$11&lt;Premissas!$B$41,0,$C$11*(Premissas!$B$39+(Premissas!$B$40-Premissas!$B$39)*$A51/36)/(1+EXP(-$K$11*($A51-$D$11-$I$11))))</f>
        <v>131.24257541506867</v>
      </c>
      <c r="AM51" s="77">
        <f>(AL51*$B$11+IF($A51&gt;=Premissas!$B$46+$D$11,$F$11,0))*(1-$E$11)*(1-Premissas!$B$60)</f>
        <v>29544.91802946332</v>
      </c>
      <c r="AN51" s="77">
        <f>-(AL51*$J$11+MAX(0,AL51-AL50)*$H$11+IF($A51-$D$11&lt;=2,Premissas!$B$49,IF($A51-$D$11&lt;=5,Premissas!$B$50,IF($A51-$D$11&lt;=8,Premissas!$B$51,$G$11)))+IF($A51=1+$D$11,Premissas!$B$55,IF($A51=3+$D$11,Premissas!$B$56,IF($A51=6+$D$11,Premissas!$B$57,0))))</f>
        <v>-42446.4796490834</v>
      </c>
      <c r="AO51" s="77">
        <f>AM51+AN51</f>
        <v>-12901.561619620079</v>
      </c>
      <c r="AP51" s="77">
        <f>AP50+AO51</f>
        <v>-209363.21248841335</v>
      </c>
      <c r="AQ51" s="78">
        <f>IF(AO51&gt;0,$A51,9999)</f>
        <v>9999.0</v>
      </c>
      <c r="AR51" s="78">
        <f>IF(AP51&gt;0,$A51,9999)</f>
        <v>9999.0</v>
      </c>
      <c r="AS51" s="76">
        <f>IF($A51-$D$12&lt;Premissas!$B$41,0,$C$12*(Premissas!$B$39+(Premissas!$B$40-Premissas!$B$39)*$A51/36)/(1+EXP(-$K$12*($A51-$D$12-$I$12))))</f>
        <v>131.24257541506867</v>
      </c>
      <c r="AT51" s="77">
        <f>(AS51*$B$12+IF($A51&gt;=Premissas!$B$46+$D$12,$F$12,0))*(1-$E$12)*(1-Premissas!$B$60)</f>
        <v>32009.550958764077</v>
      </c>
      <c r="AU51" s="77">
        <f>-(AS51*$J$12+MAX(0,AS51-AS50)*$H$12+IF($A51-$D$12&lt;=2,Premissas!$B$49,IF($A51-$D$12&lt;=5,Premissas!$B$50,IF($A51-$D$12&lt;=8,Premissas!$B$51,$G$12)))+IF($A51=1+$D$12,Premissas!$B$55,IF($A51=3+$D$12,Premissas!$B$56,IF($A51=6+$D$12,Premissas!$B$57,0))))</f>
        <v>-42446.4796490834</v>
      </c>
      <c r="AV51" s="77">
        <f>AT51+AU51</f>
        <v>-10436.92869031932</v>
      </c>
      <c r="AW51" s="77">
        <f>AW50+AV51</f>
        <v>-203945.36653007855</v>
      </c>
      <c r="AX51" s="78">
        <f>IF(AV51&gt;0,$A51,9999)</f>
        <v>9999.0</v>
      </c>
      <c r="AY51" s="78">
        <f>IF(AW51&gt;0,$A51,9999)</f>
        <v>9999.0</v>
      </c>
      <c r="AZ51" s="76">
        <f>IF($A51-$D$13&lt;Premissas!$B$41,0,$C$13*(Premissas!$B$39+(Premissas!$B$40-Premissas!$B$39)*$A51/36)/(1+EXP(-$K$13*($A51-$D$13-$I$13))))</f>
        <v>0.0</v>
      </c>
      <c r="BA51" s="77">
        <f>(AZ51*$B$13+IF($A51&gt;=Premissas!$B$46+$D$13,$F$13,0))*(1-$E$13)*(1-Premissas!$B$60)</f>
        <v>0.0</v>
      </c>
      <c r="BB51" s="77">
        <f>-(AZ51*$J$13+MAX(0,AZ51-AZ50)*$H$13+IF($A51-$D$13&lt;=2,Premissas!$B$49,IF($A51-$D$13&lt;=5,Premissas!$B$50,IF($A51-$D$13&lt;=8,Premissas!$B$51,$G$13)))+IF($A51=1+$D$13,Premissas!$B$55,IF($A51=3+$D$13,Premissas!$B$56,IF($A51=6+$D$13,Premissas!$B$57,0))))</f>
        <v>-22000.0</v>
      </c>
      <c r="BC51" s="77">
        <f>BA51+BB51</f>
        <v>-22000.0</v>
      </c>
      <c r="BD51" s="77">
        <f>BD50+BC51</f>
        <v>-104000.0</v>
      </c>
      <c r="BE51" s="78">
        <f>IF(BC51&gt;0,$A51,9999)</f>
        <v>9999.0</v>
      </c>
      <c r="BF51" s="78">
        <f>IF(BD51&gt;0,$A51,9999)</f>
        <v>9999.0</v>
      </c>
      <c r="BG51" s="76">
        <f>IF($A51-$D$14&lt;Premissas!$B$41,0,$C$14*(Premissas!$B$39+(Premissas!$B$40-Premissas!$B$39)*$A51/36)/(1+EXP(-$K$14*($A51-$D$14-$I$14))))</f>
        <v>131.24257541506867</v>
      </c>
      <c r="BH51" s="77">
        <f>(BG51*$B$14+IF($A51&gt;=Premissas!$B$46+$D$14,$F$14,0))*(1-$E$14)*(1-Premissas!$B$60)</f>
        <v>36931.14753682915</v>
      </c>
      <c r="BI51" s="77">
        <f>-(BG51*$J$14+MAX(0,BG51-BG50)*$H$14+IF($A51-$D$14&lt;=2,Premissas!$B$49,IF($A51-$D$14&lt;=5,Premissas!$B$50,IF($A51-$D$14&lt;=8,Premissas!$B$51,$G$14)))+IF($A51=1+$D$14,Premissas!$B$55,IF($A51=3+$D$14,Premissas!$B$56,IF($A51=6+$D$14,Premissas!$B$57,0))))</f>
        <v>-32446.479649083398</v>
      </c>
      <c r="BJ51" s="77">
        <f>BH51+BI51</f>
        <v>4484.6678877457525</v>
      </c>
      <c r="BK51" s="77">
        <f>BK50+BJ51</f>
        <v>-171609.41776306435</v>
      </c>
      <c r="BL51" s="78">
        <f>IF(BJ51&gt;0,$A51,9999)</f>
        <v>10.0</v>
      </c>
      <c r="BM51" s="78">
        <f>IF(BK51&gt;0,$A51,9999)</f>
        <v>9999.0</v>
      </c>
      <c r="BN51" s="76">
        <f>IF($A51-$D$15&lt;Premissas!$B$41,0,$C$15*(Premissas!$B$39+(Premissas!$B$40-Premissas!$B$39)*$A51/36)/(1+EXP(-$K$15*($A51-$D$15-$I$15))))</f>
        <v>19.86098571605519</v>
      </c>
      <c r="BO51" s="77">
        <f>(BN51*$B$15+IF($A51&gt;=Premissas!$B$46+$D$15,$F$15,0))*(1-$E$15)*(1-Premissas!$B$60)</f>
        <v>16335.654443421605</v>
      </c>
      <c r="BP51" s="77">
        <f>-(BN51*$J$15+MAX(0,BN51-BN50)*$H$15+IF($A51-$D$15&lt;=2,Premissas!$B$49,IF($A51-$D$15&lt;=5,Premissas!$B$50,IF($A51-$D$15&lt;=8,Premissas!$B$51,$G$15)))+IF($A51=1+$D$15,Premissas!$B$55,IF($A51=3+$D$15,Premissas!$B$56,IF($A51=6+$D$15,Premissas!$B$57,0))))</f>
        <v>-37918.71797874846</v>
      </c>
      <c r="BQ51" s="77">
        <f>BO51+BP51</f>
        <v>-21583.06353532685</v>
      </c>
      <c r="BR51" s="77">
        <f>BR50+BQ51</f>
        <v>-233258.10170398233</v>
      </c>
      <c r="BS51" s="78">
        <f>IF(BQ51&gt;0,$A51,9999)</f>
        <v>9999.0</v>
      </c>
      <c r="BT51" s="78">
        <f>IF(BR51&gt;0,$A51,9999)</f>
        <v>9999.0</v>
      </c>
      <c r="BU51" s="76">
        <f>IF($A51-$D$16&lt;Premissas!$B$41,0,$C$16*(Premissas!$B$39+(Premissas!$B$40-Premissas!$B$39)*$A51/36)/(1+EXP(-$K$16*($A51-$D$16-$I$16))))</f>
        <v>39.72197143211038</v>
      </c>
      <c r="BV51" s="77">
        <f>(BU51*$B$16+IF($A51&gt;=Premissas!$B$46+$D$16,$F$16,0))*(1-$E$16)*(1-Premissas!$B$60)</f>
        <v>14736.350776448087</v>
      </c>
      <c r="BW51" s="77">
        <f>-(BU51*$J$16+MAX(0,BU51-BU50)*$H$16+IF($A51-$D$16&lt;=2,Premissas!$B$49,IF($A51-$D$16&lt;=5,Premissas!$B$50,IF($A51-$D$16&lt;=8,Premissas!$B$51,$G$16)))+IF($A51=1+$D$16,Premissas!$B$55,IF($A51=3+$D$16,Premissas!$B$56,IF($A51=6+$D$16,Premissas!$B$57,0))))</f>
        <v>-40837.43595749692</v>
      </c>
      <c r="BX51" s="77">
        <f>BV51+BW51</f>
        <v>-26101.08518104883</v>
      </c>
      <c r="BY51" s="77">
        <f>BY50+BX51</f>
        <v>-245484.99586657342</v>
      </c>
      <c r="BZ51" s="78">
        <f>IF(BX51&gt;0,$A51,9999)</f>
        <v>9999.0</v>
      </c>
      <c r="CA51" s="78">
        <f>IF(BY51&gt;0,$A51,9999)</f>
        <v>9999.0</v>
      </c>
      <c r="CB51" s="76">
        <f>IF($A51-$D$17&lt;Premissas!$B$41,0,$C$17*(Premissas!$B$39+(Premissas!$B$40-Premissas!$B$39)*$A51/36)/(1+EXP(-$K$17*($A51-$D$17-$I$17))))</f>
        <v>0.0</v>
      </c>
      <c r="CC51" s="77">
        <f>(CB51*$B$17+IF($A51&gt;=Premissas!$B$46+$D$17,$F$17,0))*(1-$E$17)*(1-Premissas!$B$60)</f>
        <v>0.0</v>
      </c>
      <c r="CD51" s="77">
        <f>-(CB51*$J$17+MAX(0,CB51-CB50)*$H$17+IF($A51-$D$17&lt;=2,Premissas!$B$49,IF($A51-$D$17&lt;=5,Premissas!$B$50,IF($A51-$D$17&lt;=8,Premissas!$B$51,$G$17)))+IF($A51=1+$D$17,Premissas!$B$55,IF($A51=3+$D$17,Premissas!$B$56,IF($A51=6+$D$17,Premissas!$B$57,0))))</f>
        <v>-22000.0</v>
      </c>
      <c r="CE51" s="77">
        <f>CC51+CD51</f>
        <v>-22000.0</v>
      </c>
      <c r="CF51" s="77">
        <f>CF50+CE51</f>
        <v>-104000.0</v>
      </c>
      <c r="CG51" s="78">
        <f>IF(CE51&gt;0,$A51,9999)</f>
        <v>9999.0</v>
      </c>
      <c r="CH51" s="78">
        <f>IF(CF51&gt;0,$A51,9999)</f>
        <v>9999.0</v>
      </c>
    </row>
    <row r="52">
      <c r="A52" s="14" t="n">
        <v>11</v>
      </c>
      <c r="C52" s="76">
        <f>IF($A52-$D$6&lt;Premissas!$B$41,0,$C$6*(Premissas!$B$39+(Premissas!$B$40-Premissas!$B$39)*$A52/36)/(1+EXP(-$K$6*($A52-$D$6-$I$6))))</f>
        <v>52.69839896927057</v>
      </c>
      <c r="D52" s="77">
        <f>(C52*$B$6+IF($A52&gt;=Premissas!$B$46+$D$6,$F$6,0))*(1-$E$6)*(1-Premissas!$B$60)</f>
        <v>26810.78927119731</v>
      </c>
      <c r="E52" s="77">
        <f>-(C52*$J$6+MAX(0,C52-C51)*$H$6+IF($A52-$D$6&lt;=2,Premissas!$B$49,IF($A52-$D$6&lt;=5,Premissas!$B$50,IF($A52-$D$6&lt;=8,Premissas!$B$51,$G$6)))+IF($A52=1+$D$6,Premissas!$B$55,IF($A52=3+$D$6,Premissas!$B$56,IF($A52=6+$D$6,Premissas!$B$57,0))))</f>
        <v>-42561.99896848125</v>
      </c>
      <c r="F52" s="77">
        <f>D52+E52</f>
        <v>-15751.209697283943</v>
      </c>
      <c r="G52" s="77">
        <f>G51+F52</f>
        <v>-242267.41310524862</v>
      </c>
      <c r="H52" s="78">
        <f>IF(F52&gt;0,$A52,9999)</f>
        <v>9999.0</v>
      </c>
      <c r="I52" s="78">
        <f>IF(G52&gt;0,$A52,9999)</f>
        <v>9999.0</v>
      </c>
      <c r="J52" s="76">
        <f>IF($A52-$D$7&lt;Premissas!$B$41,0,$C$7*(Premissas!$B$39+(Premissas!$B$40-Premissas!$B$39)*$A52/36)/(1+EXP(-$K$7*($A52-$D$7-$I$7))))</f>
        <v>178.5246151284904</v>
      </c>
      <c r="K52" s="77">
        <f>(J52*$B$7+IF($A52&gt;=Premissas!$B$46+$D$7,$F$7,0))*(1-$E$7)*(1-Premissas!$B$60)</f>
        <v>47534.14494256397</v>
      </c>
      <c r="L52" s="77">
        <f>-(J52*$J$7+MAX(0,J52-J51)*$H$7+IF($A52-$D$7&lt;=2,Premissas!$B$49,IF($A52-$D$7&lt;=5,Premissas!$B$50,IF($A52-$D$7&lt;=8,Premissas!$B$51,$G$7)))+IF($A52=1+$D$7,Premissas!$B$55,IF($A52=3+$D$7,Premissas!$B$56,IF($A52=6+$D$7,Premissas!$B$57,0))))</f>
        <v>-44862.135821067684</v>
      </c>
      <c r="M52" s="77">
        <f>K52+L52</f>
        <v>2672.0091214962886</v>
      </c>
      <c r="N52" s="77">
        <f>N51+M52</f>
        <v>-188937.40864156806</v>
      </c>
      <c r="O52" s="78">
        <f>IF(M52&gt;0,$A52,9999)</f>
        <v>11.0</v>
      </c>
      <c r="P52" s="78">
        <f>IF(N52&gt;0,$A52,9999)</f>
        <v>9999.0</v>
      </c>
      <c r="Q52" s="76">
        <f>IF($A52-$D$8&lt;Premissas!$B$41,0,$C$8*(Premissas!$B$39+(Premissas!$B$40-Premissas!$B$39)*$A52/36)/(1+EXP(-$K$8*($A52-$D$8-$I$8))))</f>
        <v>178.5246151284904</v>
      </c>
      <c r="R52" s="77">
        <f>(Q52*$B$8+IF($A52&gt;=Premissas!$B$46+$D$8,$F$8,0))*(1-$E$8)*(1-Premissas!$B$60)</f>
        <v>63378.85992341863</v>
      </c>
      <c r="S52" s="77">
        <f>-(Q52*$J$8+MAX(0,Q52-Q51)*$H$8+IF($A52-$D$8&lt;=2,Premissas!$B$49,IF($A52-$D$8&lt;=5,Premissas!$B$50,IF($A52-$D$8&lt;=8,Premissas!$B$51,$G$8)))+IF($A52=1+$D$8,Premissas!$B$55,IF($A52=3+$D$8,Premissas!$B$56,IF($A52=6+$D$8,Premissas!$B$57,0))))</f>
        <v>-44862.135821067684</v>
      </c>
      <c r="T52" s="77">
        <f>R52+S52</f>
        <v>18516.72410235095</v>
      </c>
      <c r="U52" s="77">
        <f>U51+T52</f>
        <v>-143503.0357851317</v>
      </c>
      <c r="V52" s="78">
        <f>IF(T52&gt;0,$A52,9999)</f>
        <v>11.0</v>
      </c>
      <c r="W52" s="78">
        <f>IF(U52&gt;0,$A52,9999)</f>
        <v>9999.0</v>
      </c>
      <c r="X52" s="76">
        <f>IF($A52-$D$9&lt;Premissas!$B$41,0,$C$9*(Premissas!$B$39+(Premissas!$B$40-Premissas!$B$39)*$A52/36)/(1+EXP(-$K$9*($A52-$D$9-$I$9))))</f>
        <v>178.5246151284904</v>
      </c>
      <c r="Y52" s="77">
        <f>(X52*$B$9+IF($A52&gt;=Premissas!$B$46+$D$9,$F$9,0))*(1-$E$9)*(1-Premissas!$B$60)</f>
        <v>50703.08793873491</v>
      </c>
      <c r="Z52" s="77">
        <f>-(X52*$J$9+MAX(0,X52-X51)*$H$9+IF($A52-$D$9&lt;=2,Premissas!$B$49,IF($A52-$D$9&lt;=5,Premissas!$B$50,IF($A52-$D$9&lt;=8,Premissas!$B$51,$G$9)))+IF($A52=1+$D$9,Premissas!$B$55,IF($A52=3+$D$9,Premissas!$B$56,IF($A52=6+$D$9,Premissas!$B$57,0))))</f>
        <v>-44862.135821067684</v>
      </c>
      <c r="AA52" s="77">
        <f>Y52+Z52</f>
        <v>5840.952117667228</v>
      </c>
      <c r="AB52" s="77">
        <f>AB51+AA52</f>
        <v>-179850.5340702808</v>
      </c>
      <c r="AC52" s="78">
        <f>IF(AA52&gt;0,$A52,9999)</f>
        <v>11.0</v>
      </c>
      <c r="AD52" s="78">
        <f>IF(AB52&gt;0,$A52,9999)</f>
        <v>9999.0</v>
      </c>
      <c r="AE52" s="76">
        <f>IF($A52-$D$10&lt;Premissas!$B$41,0,$C$10*(Premissas!$B$39+(Premissas!$B$40-Premissas!$B$39)*$A52/36)/(1+EXP(-$K$10*($A52-$D$10-$I$10))))</f>
        <v>178.5246151284904</v>
      </c>
      <c r="AF52" s="77">
        <f>(AE52*$B$10+IF($A52&gt;=Premissas!$B$46+$D$10,$F$10,0))*(1-$E$10)*(1-Premissas!$B$60)</f>
        <v>44365.20194639304</v>
      </c>
      <c r="AG52" s="77">
        <f>-(AE52*$J$10+MAX(0,AE52-AE51)*$H$10+IF($A52-$D$10&lt;=2,Premissas!$B$49,IF($A52-$D$10&lt;=5,Premissas!$B$50,IF($A52-$D$10&lt;=8,Premissas!$B$51,$G$10)))+IF($A52=1+$D$10,Premissas!$B$55,IF($A52=3+$D$10,Premissas!$B$56,IF($A52=6+$D$10,Premissas!$B$57,0))))</f>
        <v>-44862.135821067684</v>
      </c>
      <c r="AH52" s="77">
        <f>AF52+AG52</f>
        <v>-496.93387467464345</v>
      </c>
      <c r="AI52" s="77">
        <f>AI51+AH52</f>
        <v>-198024.28321285534</v>
      </c>
      <c r="AJ52" s="78">
        <f>IF(AH52&gt;0,$A52,9999)</f>
        <v>9999.0</v>
      </c>
      <c r="AK52" s="78">
        <f>IF(AI52&gt;0,$A52,9999)</f>
        <v>9999.0</v>
      </c>
      <c r="AL52" s="76">
        <f>IF($A52-$D$11&lt;Premissas!$B$41,0,$C$11*(Premissas!$B$39+(Premissas!$B$40-Premissas!$B$39)*$A52/36)/(1+EXP(-$K$11*($A52-$D$11-$I$11))))</f>
        <v>178.5246151284904</v>
      </c>
      <c r="AM52" s="77">
        <f>(AL52*$B$11+IF($A52&gt;=Premissas!$B$46+$D$11,$F$11,0))*(1-$E$11)*(1-Premissas!$B$60)</f>
        <v>38027.31595405118</v>
      </c>
      <c r="AN52" s="77">
        <f>-(AL52*$J$11+MAX(0,AL52-AL51)*$H$11+IF($A52-$D$11&lt;=2,Premissas!$B$49,IF($A52-$D$11&lt;=5,Premissas!$B$50,IF($A52-$D$11&lt;=8,Premissas!$B$51,$G$11)))+IF($A52=1+$D$11,Premissas!$B$55,IF($A52=3+$D$11,Premissas!$B$56,IF($A52=6+$D$11,Premissas!$B$57,0))))</f>
        <v>-44862.135821067684</v>
      </c>
      <c r="AO52" s="77">
        <f>AM52+AN52</f>
        <v>-6834.8198670165075</v>
      </c>
      <c r="AP52" s="77">
        <f>AP51+AO52</f>
        <v>-216198.03235542987</v>
      </c>
      <c r="AQ52" s="78">
        <f>IF(AO52&gt;0,$A52,9999)</f>
        <v>9999.0</v>
      </c>
      <c r="AR52" s="78">
        <f>IF(AP52&gt;0,$A52,9999)</f>
        <v>9999.0</v>
      </c>
      <c r="AS52" s="76">
        <f>IF($A52-$D$12&lt;Premissas!$B$41,0,$C$12*(Premissas!$B$39+(Premissas!$B$40-Premissas!$B$39)*$A52/36)/(1+EXP(-$K$12*($A52-$D$12-$I$12))))</f>
        <v>178.5246151284904</v>
      </c>
      <c r="AT52" s="77">
        <f>(AS52*$B$12+IF($A52&gt;=Premissas!$B$46+$D$12,$F$12,0))*(1-$E$12)*(1-Premissas!$B$60)</f>
        <v>40839.47187524558</v>
      </c>
      <c r="AU52" s="77">
        <f>-(AS52*$J$12+MAX(0,AS52-AS51)*$H$12+IF($A52-$D$12&lt;=2,Premissas!$B$49,IF($A52-$D$12&lt;=5,Premissas!$B$50,IF($A52-$D$12&lt;=8,Premissas!$B$51,$G$12)))+IF($A52=1+$D$12,Premissas!$B$55,IF($A52=3+$D$12,Premissas!$B$56,IF($A52=6+$D$12,Premissas!$B$57,0))))</f>
        <v>-44862.135821067684</v>
      </c>
      <c r="AV52" s="77">
        <f>AT52+AU52</f>
        <v>-4022.6639458221034</v>
      </c>
      <c r="AW52" s="77">
        <f>AW51+AV52</f>
        <v>-207968.03047590065</v>
      </c>
      <c r="AX52" s="78">
        <f>IF(AV52&gt;0,$A52,9999)</f>
        <v>9999.0</v>
      </c>
      <c r="AY52" s="78">
        <f>IF(AW52&gt;0,$A52,9999)</f>
        <v>9999.0</v>
      </c>
      <c r="AZ52" s="76">
        <f>IF($A52-$D$13&lt;Premissas!$B$41,0,$C$13*(Premissas!$B$39+(Premissas!$B$40-Premissas!$B$39)*$A52/36)/(1+EXP(-$K$13*($A52-$D$13-$I$13))))</f>
        <v>0.0</v>
      </c>
      <c r="BA52" s="77">
        <f>(AZ52*$B$13+IF($A52&gt;=Premissas!$B$46+$D$13,$F$13,0))*(1-$E$13)*(1-Premissas!$B$60)</f>
        <v>0.0</v>
      </c>
      <c r="BB52" s="77">
        <f>-(AZ52*$J$13+MAX(0,AZ52-AZ51)*$H$13+IF($A52-$D$13&lt;=2,Premissas!$B$49,IF($A52-$D$13&lt;=5,Premissas!$B$50,IF($A52-$D$13&lt;=8,Premissas!$B$51,$G$13)))+IF($A52=1+$D$13,Premissas!$B$55,IF($A52=3+$D$13,Premissas!$B$56,IF($A52=6+$D$13,Premissas!$B$57,0))))</f>
        <v>-22000.0</v>
      </c>
      <c r="BC52" s="77">
        <f>BA52+BB52</f>
        <v>-22000.0</v>
      </c>
      <c r="BD52" s="77">
        <f>BD51+BC52</f>
        <v>-126000.0</v>
      </c>
      <c r="BE52" s="78">
        <f>IF(BC52&gt;0,$A52,9999)</f>
        <v>9999.0</v>
      </c>
      <c r="BF52" s="78">
        <f>IF(BD52&gt;0,$A52,9999)</f>
        <v>9999.0</v>
      </c>
      <c r="BG52" s="76">
        <f>IF($A52-$D$14&lt;Premissas!$B$41,0,$C$14*(Premissas!$B$39+(Premissas!$B$40-Premissas!$B$39)*$A52/36)/(1+EXP(-$K$14*($A52-$D$14-$I$14))))</f>
        <v>178.5246151284904</v>
      </c>
      <c r="BH52" s="77">
        <f>(BG52*$B$14+IF($A52&gt;=Premissas!$B$46+$D$14,$F$14,0))*(1-$E$14)*(1-Premissas!$B$60)</f>
        <v>47534.14494256397</v>
      </c>
      <c r="BI52" s="77">
        <f>-(BG52*$J$14+MAX(0,BG52-BG51)*$H$14+IF($A52-$D$14&lt;=2,Premissas!$B$49,IF($A52-$D$14&lt;=5,Premissas!$B$50,IF($A52-$D$14&lt;=8,Premissas!$B$51,$G$14)))+IF($A52=1+$D$14,Premissas!$B$55,IF($A52=3+$D$14,Premissas!$B$56,IF($A52=6+$D$14,Premissas!$B$57,0))))</f>
        <v>-34862.135821067684</v>
      </c>
      <c r="BJ52" s="77">
        <f>BH52+BI52</f>
        <v>12672.009121496289</v>
      </c>
      <c r="BK52" s="77">
        <f>BK51+BJ52</f>
        <v>-158937.40864156806</v>
      </c>
      <c r="BL52" s="78">
        <f>IF(BJ52&gt;0,$A52,9999)</f>
        <v>11.0</v>
      </c>
      <c r="BM52" s="78">
        <f>IF(BK52&gt;0,$A52,9999)</f>
        <v>9999.0</v>
      </c>
      <c r="BN52" s="76">
        <f>IF($A52-$D$15&lt;Premissas!$B$41,0,$C$15*(Premissas!$B$39+(Premissas!$B$40-Premissas!$B$39)*$A52/36)/(1+EXP(-$K$15*($A52-$D$15-$I$15))))</f>
        <v>26.349199484635285</v>
      </c>
      <c r="BO52" s="77">
        <f>(BN52*$B$15+IF($A52&gt;=Premissas!$B$46+$D$15,$F$15,0))*(1-$E$15)*(1-Premissas!$B$60)</f>
        <v>18405.394635598655</v>
      </c>
      <c r="BP52" s="77">
        <f>-(BN52*$J$15+MAX(0,BN52-BN51)*$H$15+IF($A52-$D$15&lt;=2,Premissas!$B$49,IF($A52-$D$15&lt;=5,Premissas!$B$50,IF($A52-$D$15&lt;=8,Premissas!$B$51,$G$15)))+IF($A52=1+$D$15,Premissas!$B$55,IF($A52=3+$D$15,Premissas!$B$56,IF($A52=6+$D$15,Premissas!$B$57,0))))</f>
        <v>-38780.99948424062</v>
      </c>
      <c r="BQ52" s="77">
        <f>BO52+BP52</f>
        <v>-20375.604848641968</v>
      </c>
      <c r="BR52" s="77">
        <f>BR51+BQ52</f>
        <v>-253633.7065526243</v>
      </c>
      <c r="BS52" s="78">
        <f>IF(BQ52&gt;0,$A52,9999)</f>
        <v>9999.0</v>
      </c>
      <c r="BT52" s="78">
        <f>IF(BR52&gt;0,$A52,9999)</f>
        <v>9999.0</v>
      </c>
      <c r="BU52" s="76">
        <f>IF($A52-$D$16&lt;Premissas!$B$41,0,$C$16*(Premissas!$B$39+(Premissas!$B$40-Premissas!$B$39)*$A52/36)/(1+EXP(-$K$16*($A52-$D$16-$I$16))))</f>
        <v>52.69839896927057</v>
      </c>
      <c r="BV52" s="77">
        <f>(BU52*$B$16+IF($A52&gt;=Premissas!$B$46+$D$16,$F$16,0))*(1-$E$16)*(1-Premissas!$B$60)</f>
        <v>17427.01302627825</v>
      </c>
      <c r="BW52" s="77">
        <f>-(BU52*$J$16+MAX(0,BU52-BU51)*$H$16+IF($A52-$D$16&lt;=2,Premissas!$B$49,IF($A52-$D$16&lt;=5,Premissas!$B$50,IF($A52-$D$16&lt;=8,Premissas!$B$51,$G$16)))+IF($A52=1+$D$16,Premissas!$B$55,IF($A52=3+$D$16,Premissas!$B$56,IF($A52=6+$D$16,Premissas!$B$57,0))))</f>
        <v>-42561.99896848125</v>
      </c>
      <c r="BX52" s="77">
        <f>BV52+BW52</f>
        <v>-25134.985942203002</v>
      </c>
      <c r="BY52" s="77">
        <f>BY51+BX52</f>
        <v>-270619.98180877644</v>
      </c>
      <c r="BZ52" s="78">
        <f>IF(BX52&gt;0,$A52,9999)</f>
        <v>9999.0</v>
      </c>
      <c r="CA52" s="78">
        <f>IF(BY52&gt;0,$A52,9999)</f>
        <v>9999.0</v>
      </c>
      <c r="CB52" s="76">
        <f>IF($A52-$D$17&lt;Premissas!$B$41,0,$C$17*(Premissas!$B$39+(Premissas!$B$40-Premissas!$B$39)*$A52/36)/(1+EXP(-$K$17*($A52-$D$17-$I$17))))</f>
        <v>0.0</v>
      </c>
      <c r="CC52" s="77">
        <f>(CB52*$B$17+IF($A52&gt;=Premissas!$B$46+$D$17,$F$17,0))*(1-$E$17)*(1-Premissas!$B$60)</f>
        <v>0.0</v>
      </c>
      <c r="CD52" s="77">
        <f>-(CB52*$J$17+MAX(0,CB52-CB51)*$H$17+IF($A52-$D$17&lt;=2,Premissas!$B$49,IF($A52-$D$17&lt;=5,Premissas!$B$50,IF($A52-$D$17&lt;=8,Premissas!$B$51,$G$17)))+IF($A52=1+$D$17,Premissas!$B$55,IF($A52=3+$D$17,Premissas!$B$56,IF($A52=6+$D$17,Premissas!$B$57,0))))</f>
        <v>-22000.0</v>
      </c>
      <c r="CE52" s="77">
        <f>CC52+CD52</f>
        <v>-22000.0</v>
      </c>
      <c r="CF52" s="77">
        <f>CF51+CE52</f>
        <v>-126000.0</v>
      </c>
      <c r="CG52" s="78">
        <f>IF(CE52&gt;0,$A52,9999)</f>
        <v>9999.0</v>
      </c>
      <c r="CH52" s="78">
        <f>IF(CF52&gt;0,$A52,9999)</f>
        <v>9999.0</v>
      </c>
    </row>
    <row r="53">
      <c r="A53" s="14" t="n">
        <v>12</v>
      </c>
      <c r="C53" s="76">
        <f>IF($A53-$D$6&lt;Premissas!$B$41,0,$C$6*(Premissas!$B$39+(Premissas!$B$40-Premissas!$B$39)*$A53/36)/(1+EXP(-$K$6*($A53-$D$6-$I$6))))</f>
        <v>68.91265915503872</v>
      </c>
      <c r="D53" s="77">
        <f>(C53*$B$6+IF($A53&gt;=Premissas!$B$46+$D$6,$F$6,0))*(1-$E$6)*(1-Premissas!$B$60)</f>
        <v>31983.13827045735</v>
      </c>
      <c r="E53" s="77">
        <f>-(C53*$J$6+MAX(0,C53-C52)*$H$6+IF($A53-$D$6&lt;=2,Premissas!$B$49,IF($A53-$D$6&lt;=5,Premissas!$B$50,IF($A53-$D$6&lt;=8,Premissas!$B$51,$G$6)))+IF($A53=1+$D$6,Premissas!$B$55,IF($A53=3+$D$6,Premissas!$B$56,IF($A53=6+$D$6,Premissas!$B$57,0))))</f>
        <v>-44586.773736284005</v>
      </c>
      <c r="F53" s="77">
        <f>D53+E53</f>
        <v>-12603.635465826654</v>
      </c>
      <c r="G53" s="77">
        <f>G52+F53</f>
        <v>-254871.04857107528</v>
      </c>
      <c r="H53" s="78">
        <f>IF(F53&gt;0,$A53,9999)</f>
        <v>9999.0</v>
      </c>
      <c r="I53" s="78">
        <f>IF(G53&gt;0,$A53,9999)</f>
        <v>9999.0</v>
      </c>
      <c r="J53" s="76">
        <f>IF($A53-$D$7&lt;Premissas!$B$41,0,$C$7*(Premissas!$B$39+(Premissas!$B$40-Premissas!$B$39)*$A53/36)/(1+EXP(-$K$7*($A53-$D$7-$I$7))))</f>
        <v>231.48333333333332</v>
      </c>
      <c r="K53" s="77">
        <f>(J53*$B$7+IF($A53&gt;=Premissas!$B$46+$D$7,$F$7,0))*(1-$E$7)*(1-Premissas!$B$60)</f>
        <v>59410.1375</v>
      </c>
      <c r="L53" s="77">
        <f>-(J53*$J$7+MAX(0,J53-J52)*$H$7+IF($A53-$D$7&lt;=2,Premissas!$B$49,IF($A53-$D$7&lt;=5,Premissas!$B$50,IF($A53-$D$7&lt;=8,Premissas!$B$51,$G$7)))+IF($A53=1+$D$7,Premissas!$B$55,IF($A53=3+$D$7,Premissas!$B$56,IF($A53=6+$D$7,Premissas!$B$57,0))))</f>
        <v>-47370.23591024215</v>
      </c>
      <c r="M53" s="77">
        <f>K53+L53</f>
        <v>12039.90158975785</v>
      </c>
      <c r="N53" s="77">
        <f>N52+M53</f>
        <v>-176897.50705181021</v>
      </c>
      <c r="O53" s="78">
        <f>IF(M53&gt;0,$A53,9999)</f>
        <v>12.0</v>
      </c>
      <c r="P53" s="78">
        <f>IF(N53&gt;0,$A53,9999)</f>
        <v>9999.0</v>
      </c>
      <c r="Q53" s="76">
        <f>IF($A53-$D$8&lt;Premissas!$B$41,0,$C$8*(Premissas!$B$39+(Premissas!$B$40-Premissas!$B$39)*$A53/36)/(1+EXP(-$K$8*($A53-$D$8-$I$8))))</f>
        <v>231.48333333333332</v>
      </c>
      <c r="R53" s="77">
        <f>(Q53*$B$8+IF($A53&gt;=Premissas!$B$46+$D$8,$F$8,0))*(1-$E$8)*(1-Premissas!$B$60)</f>
        <v>79213.51666666666</v>
      </c>
      <c r="S53" s="77">
        <f>-(Q53*$J$8+MAX(0,Q53-Q52)*$H$8+IF($A53-$D$8&lt;=2,Premissas!$B$49,IF($A53-$D$8&lt;=5,Premissas!$B$50,IF($A53-$D$8&lt;=8,Premissas!$B$51,$G$8)))+IF($A53=1+$D$8,Premissas!$B$55,IF($A53=3+$D$8,Premissas!$B$56,IF($A53=6+$D$8,Premissas!$B$57,0))))</f>
        <v>-47370.23591024215</v>
      </c>
      <c r="T53" s="77">
        <f>R53+S53</f>
        <v>31843.280756424516</v>
      </c>
      <c r="U53" s="77">
        <f>U52+T53</f>
        <v>-111659.7550287072</v>
      </c>
      <c r="V53" s="78">
        <f>IF(T53&gt;0,$A53,9999)</f>
        <v>12.0</v>
      </c>
      <c r="W53" s="78">
        <f>IF(U53&gt;0,$A53,9999)</f>
        <v>9999.0</v>
      </c>
      <c r="X53" s="76">
        <f>IF($A53-$D$9&lt;Premissas!$B$41,0,$C$9*(Premissas!$B$39+(Premissas!$B$40-Premissas!$B$39)*$A53/36)/(1+EXP(-$K$9*($A53-$D$9-$I$9))))</f>
        <v>231.48333333333332</v>
      </c>
      <c r="Y53" s="77">
        <f>(X53*$B$9+IF($A53&gt;=Premissas!$B$46+$D$9,$F$9,0))*(1-$E$9)*(1-Premissas!$B$60)</f>
        <v>63370.81333333333</v>
      </c>
      <c r="Z53" s="77">
        <f>-(X53*$J$9+MAX(0,X53-X52)*$H$9+IF($A53-$D$9&lt;=2,Premissas!$B$49,IF($A53-$D$9&lt;=5,Premissas!$B$50,IF($A53-$D$9&lt;=8,Premissas!$B$51,$G$9)))+IF($A53=1+$D$9,Premissas!$B$55,IF($A53=3+$D$9,Premissas!$B$56,IF($A53=6+$D$9,Premissas!$B$57,0))))</f>
        <v>-47370.23591024215</v>
      </c>
      <c r="AA53" s="77">
        <f>Y53+Z53</f>
        <v>16000.577423091185</v>
      </c>
      <c r="AB53" s="77">
        <f>AB52+AA53</f>
        <v>-163849.9566471896</v>
      </c>
      <c r="AC53" s="78">
        <f>IF(AA53&gt;0,$A53,9999)</f>
        <v>12.0</v>
      </c>
      <c r="AD53" s="78">
        <f>IF(AB53&gt;0,$A53,9999)</f>
        <v>9999.0</v>
      </c>
      <c r="AE53" s="76">
        <f>IF($A53-$D$10&lt;Premissas!$B$41,0,$C$10*(Premissas!$B$39+(Premissas!$B$40-Premissas!$B$39)*$A53/36)/(1+EXP(-$K$10*($A53-$D$10-$I$10))))</f>
        <v>231.48333333333332</v>
      </c>
      <c r="AF53" s="77">
        <f>(AE53*$B$10+IF($A53&gt;=Premissas!$B$46+$D$10,$F$10,0))*(1-$E$10)*(1-Premissas!$B$60)</f>
        <v>55449.46166666666</v>
      </c>
      <c r="AG53" s="77">
        <f>-(AE53*$J$10+MAX(0,AE53-AE52)*$H$10+IF($A53-$D$10&lt;=2,Premissas!$B$49,IF($A53-$D$10&lt;=5,Premissas!$B$50,IF($A53-$D$10&lt;=8,Premissas!$B$51,$G$10)))+IF($A53=1+$D$10,Premissas!$B$55,IF($A53=3+$D$10,Premissas!$B$56,IF($A53=6+$D$10,Premissas!$B$57,0))))</f>
        <v>-47370.23591024215</v>
      </c>
      <c r="AH53" s="77">
        <f>AF53+AG53</f>
        <v>8079.225756424516</v>
      </c>
      <c r="AI53" s="77">
        <f>AI52+AH53</f>
        <v>-189945.05745643083</v>
      </c>
      <c r="AJ53" s="78">
        <f>IF(AH53&gt;0,$A53,9999)</f>
        <v>12.0</v>
      </c>
      <c r="AK53" s="78">
        <f>IF(AI53&gt;0,$A53,9999)</f>
        <v>9999.0</v>
      </c>
      <c r="AL53" s="76">
        <f>IF($A53-$D$11&lt;Premissas!$B$41,0,$C$11*(Premissas!$B$39+(Premissas!$B$40-Premissas!$B$39)*$A53/36)/(1+EXP(-$K$11*($A53-$D$11-$I$11))))</f>
        <v>231.48333333333332</v>
      </c>
      <c r="AM53" s="77">
        <f>(AL53*$B$11+IF($A53&gt;=Premissas!$B$46+$D$11,$F$11,0))*(1-$E$11)*(1-Premissas!$B$60)</f>
        <v>47528.10999999999</v>
      </c>
      <c r="AN53" s="77">
        <f>-(AL53*$J$11+MAX(0,AL53-AL52)*$H$11+IF($A53-$D$11&lt;=2,Premissas!$B$49,IF($A53-$D$11&lt;=5,Premissas!$B$50,IF($A53-$D$11&lt;=8,Premissas!$B$51,$G$11)))+IF($A53=1+$D$11,Premissas!$B$55,IF($A53=3+$D$11,Premissas!$B$56,IF($A53=6+$D$11,Premissas!$B$57,0))))</f>
        <v>-47370.23591024215</v>
      </c>
      <c r="AO53" s="77">
        <f>AM53+AN53</f>
        <v>157.87408975784638</v>
      </c>
      <c r="AP53" s="77">
        <f>AP52+AO53</f>
        <v>-216040.158265672</v>
      </c>
      <c r="AQ53" s="78">
        <f>IF(AO53&gt;0,$A53,9999)</f>
        <v>12.0</v>
      </c>
      <c r="AR53" s="78">
        <f>IF(AP53&gt;0,$A53,9999)</f>
        <v>9999.0</v>
      </c>
      <c r="AS53" s="76">
        <f>IF($A53-$D$12&lt;Premissas!$B$41,0,$C$12*(Premissas!$B$39+(Premissas!$B$40-Premissas!$B$39)*$A53/36)/(1+EXP(-$K$12*($A53-$D$12-$I$12))))</f>
        <v>231.48333333333332</v>
      </c>
      <c r="AT53" s="77">
        <f>(AS53*$B$12+IF($A53&gt;=Premissas!$B$46+$D$12,$F$12,0))*(1-$E$12)*(1-Premissas!$B$60)</f>
        <v>50729.512500000004</v>
      </c>
      <c r="AU53" s="77">
        <f>-(AS53*$J$12+MAX(0,AS53-AS52)*$H$12+IF($A53-$D$12&lt;=2,Premissas!$B$49,IF($A53-$D$12&lt;=5,Premissas!$B$50,IF($A53-$D$12&lt;=8,Premissas!$B$51,$G$12)))+IF($A53=1+$D$12,Premissas!$B$55,IF($A53=3+$D$12,Premissas!$B$56,IF($A53=6+$D$12,Premissas!$B$57,0))))</f>
        <v>-47370.23591024215</v>
      </c>
      <c r="AV53" s="77">
        <f>AT53+AU53</f>
        <v>3359.2765897578574</v>
      </c>
      <c r="AW53" s="77">
        <f>AW52+AV53</f>
        <v>-204608.7538861428</v>
      </c>
      <c r="AX53" s="78">
        <f>IF(AV53&gt;0,$A53,9999)</f>
        <v>12.0</v>
      </c>
      <c r="AY53" s="78">
        <f>IF(AW53&gt;0,$A53,9999)</f>
        <v>9999.0</v>
      </c>
      <c r="AZ53" s="76">
        <f>IF($A53-$D$13&lt;Premissas!$B$41,0,$C$13*(Premissas!$B$39+(Premissas!$B$40-Premissas!$B$39)*$A53/36)/(1+EXP(-$K$13*($A53-$D$13-$I$13))))</f>
        <v>0.0</v>
      </c>
      <c r="BA53" s="77">
        <f>(AZ53*$B$13+IF($A53&gt;=Premissas!$B$46+$D$13,$F$13,0))*(1-$E$13)*(1-Premissas!$B$60)</f>
        <v>0.0</v>
      </c>
      <c r="BB53" s="77">
        <f>-(AZ53*$J$13+MAX(0,AZ53-AZ52)*$H$13+IF($A53-$D$13&lt;=2,Premissas!$B$49,IF($A53-$D$13&lt;=5,Premissas!$B$50,IF($A53-$D$13&lt;=8,Premissas!$B$51,$G$13)))+IF($A53=1+$D$13,Premissas!$B$55,IF($A53=3+$D$13,Premissas!$B$56,IF($A53=6+$D$13,Premissas!$B$57,0))))</f>
        <v>-38000.0</v>
      </c>
      <c r="BC53" s="77">
        <f>BA53+BB53</f>
        <v>-38000.0</v>
      </c>
      <c r="BD53" s="77">
        <f>BD52+BC53</f>
        <v>-164000.0</v>
      </c>
      <c r="BE53" s="78">
        <f>IF(BC53&gt;0,$A53,9999)</f>
        <v>9999.0</v>
      </c>
      <c r="BF53" s="78">
        <f>IF(BD53&gt;0,$A53,9999)</f>
        <v>9999.0</v>
      </c>
      <c r="BG53" s="76">
        <f>IF($A53-$D$14&lt;Premissas!$B$41,0,$C$14*(Premissas!$B$39+(Premissas!$B$40-Premissas!$B$39)*$A53/36)/(1+EXP(-$K$14*($A53-$D$14-$I$14))))</f>
        <v>231.48333333333332</v>
      </c>
      <c r="BH53" s="77">
        <f>(BG53*$B$14+IF($A53&gt;=Premissas!$B$46+$D$14,$F$14,0))*(1-$E$14)*(1-Premissas!$B$60)</f>
        <v>59410.1375</v>
      </c>
      <c r="BI53" s="77">
        <f>-(BG53*$J$14+MAX(0,BG53-BG52)*$H$14+IF($A53-$D$14&lt;=2,Premissas!$B$49,IF($A53-$D$14&lt;=5,Premissas!$B$50,IF($A53-$D$14&lt;=8,Premissas!$B$51,$G$14)))+IF($A53=1+$D$14,Premissas!$B$55,IF($A53=3+$D$14,Premissas!$B$56,IF($A53=6+$D$14,Premissas!$B$57,0))))</f>
        <v>-37370.23591024215</v>
      </c>
      <c r="BJ53" s="77">
        <f>BH53+BI53</f>
        <v>22039.90158975785</v>
      </c>
      <c r="BK53" s="77">
        <f>BK52+BJ53</f>
        <v>-136897.50705181021</v>
      </c>
      <c r="BL53" s="78">
        <f>IF(BJ53&gt;0,$A53,9999)</f>
        <v>12.0</v>
      </c>
      <c r="BM53" s="78">
        <f>IF(BK53&gt;0,$A53,9999)</f>
        <v>9999.0</v>
      </c>
      <c r="BN53" s="76">
        <f>IF($A53-$D$15&lt;Premissas!$B$41,0,$C$15*(Premissas!$B$39+(Premissas!$B$40-Premissas!$B$39)*$A53/36)/(1+EXP(-$K$15*($A53-$D$15-$I$15))))</f>
        <v>34.45632957751936</v>
      </c>
      <c r="BO53" s="77">
        <f>(BN53*$B$15+IF($A53&gt;=Premissas!$B$46+$D$15,$F$15,0))*(1-$E$15)*(1-Premissas!$B$60)</f>
        <v>20991.569135228674</v>
      </c>
      <c r="BP53" s="77">
        <f>-(BN53*$J$15+MAX(0,BN53-BN52)*$H$15+IF($A53-$D$15&lt;=2,Premissas!$B$49,IF($A53-$D$15&lt;=5,Premissas!$B$50,IF($A53-$D$15&lt;=8,Premissas!$B$51,$G$15)))+IF($A53=1+$D$15,Premissas!$B$55,IF($A53=3+$D$15,Premissas!$B$56,IF($A53=6+$D$15,Premissas!$B$57,0))))</f>
        <v>-39793.386868142</v>
      </c>
      <c r="BQ53" s="77">
        <f>BO53+BP53</f>
        <v>-18801.817732913325</v>
      </c>
      <c r="BR53" s="77">
        <f>BR52+BQ53</f>
        <v>-272435.5242855376</v>
      </c>
      <c r="BS53" s="78">
        <f>IF(BQ53&gt;0,$A53,9999)</f>
        <v>9999.0</v>
      </c>
      <c r="BT53" s="78">
        <f>IF(BR53&gt;0,$A53,9999)</f>
        <v>9999.0</v>
      </c>
      <c r="BU53" s="76">
        <f>IF($A53-$D$16&lt;Premissas!$B$41,0,$C$16*(Premissas!$B$39+(Premissas!$B$40-Premissas!$B$39)*$A53/36)/(1+EXP(-$K$16*($A53-$D$16-$I$16))))</f>
        <v>68.91265915503872</v>
      </c>
      <c r="BV53" s="77">
        <f>(BU53*$B$16+IF($A53&gt;=Premissas!$B$46+$D$16,$F$16,0))*(1-$E$16)*(1-Premissas!$B$60)</f>
        <v>20789.03987579728</v>
      </c>
      <c r="BW53" s="77">
        <f>-(BU53*$J$16+MAX(0,BU53-BU52)*$H$16+IF($A53-$D$16&lt;=2,Premissas!$B$49,IF($A53-$D$16&lt;=5,Premissas!$B$50,IF($A53-$D$16&lt;=8,Premissas!$B$51,$G$16)))+IF($A53=1+$D$16,Premissas!$B$55,IF($A53=3+$D$16,Premissas!$B$56,IF($A53=6+$D$16,Premissas!$B$57,0))))</f>
        <v>-44586.773736284005</v>
      </c>
      <c r="BX53" s="77">
        <f>BV53+BW53</f>
        <v>-23797.733860486725</v>
      </c>
      <c r="BY53" s="77">
        <f>BY52+BX53</f>
        <v>-294417.71566926315</v>
      </c>
      <c r="BZ53" s="78">
        <f>IF(BX53&gt;0,$A53,9999)</f>
        <v>9999.0</v>
      </c>
      <c r="CA53" s="78">
        <f>IF(BY53&gt;0,$A53,9999)</f>
        <v>9999.0</v>
      </c>
      <c r="CB53" s="76">
        <f>IF($A53-$D$17&lt;Premissas!$B$41,0,$C$17*(Premissas!$B$39+(Premissas!$B$40-Premissas!$B$39)*$A53/36)/(1+EXP(-$K$17*($A53-$D$17-$I$17))))</f>
        <v>0.0</v>
      </c>
      <c r="CC53" s="77">
        <f>(CB53*$B$17+IF($A53&gt;=Premissas!$B$46+$D$17,$F$17,0))*(1-$E$17)*(1-Premissas!$B$60)</f>
        <v>0.0</v>
      </c>
      <c r="CD53" s="77">
        <f>-(CB53*$J$17+MAX(0,CB53-CB52)*$H$17+IF($A53-$D$17&lt;=2,Premissas!$B$49,IF($A53-$D$17&lt;=5,Premissas!$B$50,IF($A53-$D$17&lt;=8,Premissas!$B$51,$G$17)))+IF($A53=1+$D$17,Premissas!$B$55,IF($A53=3+$D$17,Premissas!$B$56,IF($A53=6+$D$17,Premissas!$B$57,0))))</f>
        <v>-38000.0</v>
      </c>
      <c r="CE53" s="77">
        <f>CC53+CD53</f>
        <v>-38000.0</v>
      </c>
      <c r="CF53" s="77">
        <f>CF52+CE53</f>
        <v>-164000.0</v>
      </c>
      <c r="CG53" s="78">
        <f>IF(CE53&gt;0,$A53,9999)</f>
        <v>9999.0</v>
      </c>
      <c r="CH53" s="78">
        <f>IF(CF53&gt;0,$A53,9999)</f>
        <v>9999.0</v>
      </c>
    </row>
    <row r="54">
      <c r="A54" s="14" t="n">
        <v>13</v>
      </c>
      <c r="C54" s="76">
        <f>IF($A54-$D$6&lt;Premissas!$B$41,0,$C$6*(Premissas!$B$39+(Premissas!$B$40-Premissas!$B$39)*$A54/36)/(1+EXP(-$K$6*($A54-$D$6-$I$6))))</f>
        <v>88.55064591084984</v>
      </c>
      <c r="D54" s="77">
        <f>(C54*$B$6+IF($A54&gt;=Premissas!$B$46+$D$6,$F$6,0))*(1-$E$6)*(1-Premissas!$B$60)</f>
        <v>38247.6560455611</v>
      </c>
      <c r="E54" s="77">
        <f>-(C54*$J$6+MAX(0,C54-C53)*$H$6+IF($A54-$D$6&lt;=2,Premissas!$B$49,IF($A54-$D$6&lt;=5,Premissas!$B$50,IF($A54-$D$6&lt;=8,Premissas!$B$51,$G$6)))+IF($A54=1+$D$6,Premissas!$B$55,IF($A54=3+$D$6,Premissas!$B$56,IF($A54=6+$D$6,Premissas!$B$57,0))))</f>
        <v>-46839.97376831269</v>
      </c>
      <c r="F54" s="77">
        <f>D54+E54</f>
        <v>-8592.317722751584</v>
      </c>
      <c r="G54" s="77">
        <f>G53+F54</f>
        <v>-263463.36629382684</v>
      </c>
      <c r="H54" s="78">
        <f>IF(F54&gt;0,$A54,9999)</f>
        <v>9999.0</v>
      </c>
      <c r="I54" s="78">
        <f>IF(G54&gt;0,$A54,9999)</f>
        <v>9999.0</v>
      </c>
      <c r="J54" s="76">
        <f>IF($A54-$D$7&lt;Premissas!$B$41,0,$C$7*(Premissas!$B$39+(Premissas!$B$40-Premissas!$B$39)*$A54/36)/(1+EXP(-$K$7*($A54-$D$7-$I$7))))</f>
        <v>285.4288920387622</v>
      </c>
      <c r="K54" s="77">
        <f>(J54*$B$7+IF($A54&gt;=Premissas!$B$46+$D$7,$F$7,0))*(1-$E$7)*(1-Premissas!$B$60)</f>
        <v>71507.42903969243</v>
      </c>
      <c r="L54" s="77">
        <f>-(J54*$J$7+MAX(0,J54-J53)*$H$7+IF($A54-$D$7&lt;=2,Premissas!$B$49,IF($A54-$D$7&lt;=5,Premissas!$B$50,IF($A54-$D$7&lt;=8,Premissas!$B$51,$G$7)))+IF($A54=1+$D$7,Premissas!$B$55,IF($A54=3+$D$7,Premissas!$B$56,IF($A54=6+$D$7,Premissas!$B$57,0))))</f>
        <v>-49685.291400899456</v>
      </c>
      <c r="M54" s="77">
        <f>K54+L54</f>
        <v>21822.137638792978</v>
      </c>
      <c r="N54" s="77">
        <f>N53+M54</f>
        <v>-155075.36941301724</v>
      </c>
      <c r="O54" s="78">
        <f>IF(M54&gt;0,$A54,9999)</f>
        <v>13.0</v>
      </c>
      <c r="P54" s="78">
        <f>IF(N54&gt;0,$A54,9999)</f>
        <v>9999.0</v>
      </c>
      <c r="Q54" s="76">
        <f>IF($A54-$D$8&lt;Premissas!$B$41,0,$C$8*(Premissas!$B$39+(Premissas!$B$40-Premissas!$B$39)*$A54/36)/(1+EXP(-$K$8*($A54-$D$8-$I$8))))</f>
        <v>285.4288920387622</v>
      </c>
      <c r="R54" s="77">
        <f>(Q54*$B$8+IF($A54&gt;=Premissas!$B$46+$D$8,$F$8,0))*(1-$E$8)*(1-Premissas!$B$60)</f>
        <v>95343.2387195899</v>
      </c>
      <c r="S54" s="77">
        <f>-(Q54*$J$8+MAX(0,Q54-Q53)*$H$8+IF($A54-$D$8&lt;=2,Premissas!$B$49,IF($A54-$D$8&lt;=5,Premissas!$B$50,IF($A54-$D$8&lt;=8,Premissas!$B$51,$G$8)))+IF($A54=1+$D$8,Premissas!$B$55,IF($A54=3+$D$8,Premissas!$B$56,IF($A54=6+$D$8,Premissas!$B$57,0))))</f>
        <v>-49685.291400899456</v>
      </c>
      <c r="T54" s="77">
        <f>R54+S54</f>
        <v>45657.94731869045</v>
      </c>
      <c r="U54" s="77">
        <f>U53+T54</f>
        <v>-66001.80771001674</v>
      </c>
      <c r="V54" s="78">
        <f>IF(T54&gt;0,$A54,9999)</f>
        <v>13.0</v>
      </c>
      <c r="W54" s="78">
        <f>IF(U54&gt;0,$A54,9999)</f>
        <v>9999.0</v>
      </c>
      <c r="X54" s="76">
        <f>IF($A54-$D$9&lt;Premissas!$B$41,0,$C$9*(Premissas!$B$39+(Premissas!$B$40-Premissas!$B$39)*$A54/36)/(1+EXP(-$K$9*($A54-$D$9-$I$9))))</f>
        <v>285.4288920387622</v>
      </c>
      <c r="Y54" s="77">
        <f>(X54*$B$9+IF($A54&gt;=Premissas!$B$46+$D$9,$F$9,0))*(1-$E$9)*(1-Premissas!$B$60)</f>
        <v>76274.59097567193</v>
      </c>
      <c r="Z54" s="77">
        <f>-(X54*$J$9+MAX(0,X54-X53)*$H$9+IF($A54-$D$9&lt;=2,Premissas!$B$49,IF($A54-$D$9&lt;=5,Premissas!$B$50,IF($A54-$D$9&lt;=8,Premissas!$B$51,$G$9)))+IF($A54=1+$D$9,Premissas!$B$55,IF($A54=3+$D$9,Premissas!$B$56,IF($A54=6+$D$9,Premissas!$B$57,0))))</f>
        <v>-49685.291400899456</v>
      </c>
      <c r="AA54" s="77">
        <f>Y54+Z54</f>
        <v>26589.299574772478</v>
      </c>
      <c r="AB54" s="77">
        <f>AB53+AA54</f>
        <v>-137260.65707241712</v>
      </c>
      <c r="AC54" s="78">
        <f>IF(AA54&gt;0,$A54,9999)</f>
        <v>13.0</v>
      </c>
      <c r="AD54" s="78">
        <f>IF(AB54&gt;0,$A54,9999)</f>
        <v>9999.0</v>
      </c>
      <c r="AE54" s="76">
        <f>IF($A54-$D$10&lt;Premissas!$B$41,0,$C$10*(Premissas!$B$39+(Premissas!$B$40-Premissas!$B$39)*$A54/36)/(1+EXP(-$K$10*($A54-$D$10-$I$10))))</f>
        <v>285.4288920387622</v>
      </c>
      <c r="AF54" s="77">
        <f>(AE54*$B$10+IF($A54&gt;=Premissas!$B$46+$D$10,$F$10,0))*(1-$E$10)*(1-Premissas!$B$60)</f>
        <v>66740.26710371293</v>
      </c>
      <c r="AG54" s="77">
        <f>-(AE54*$J$10+MAX(0,AE54-AE53)*$H$10+IF($A54-$D$10&lt;=2,Premissas!$B$49,IF($A54-$D$10&lt;=5,Premissas!$B$50,IF($A54-$D$10&lt;=8,Premissas!$B$51,$G$10)))+IF($A54=1+$D$10,Premissas!$B$55,IF($A54=3+$D$10,Premissas!$B$56,IF($A54=6+$D$10,Premissas!$B$57,0))))</f>
        <v>-49685.291400899456</v>
      </c>
      <c r="AH54" s="77">
        <f>AF54+AG54</f>
        <v>17054.975702813477</v>
      </c>
      <c r="AI54" s="77">
        <f>AI53+AH54</f>
        <v>-172890.08175361736</v>
      </c>
      <c r="AJ54" s="78">
        <f>IF(AH54&gt;0,$A54,9999)</f>
        <v>13.0</v>
      </c>
      <c r="AK54" s="78">
        <f>IF(AI54&gt;0,$A54,9999)</f>
        <v>9999.0</v>
      </c>
      <c r="AL54" s="76">
        <f>IF($A54-$D$11&lt;Premissas!$B$41,0,$C$11*(Premissas!$B$39+(Premissas!$B$40-Premissas!$B$39)*$A54/36)/(1+EXP(-$K$11*($A54-$D$11-$I$11))))</f>
        <v>285.4288920387622</v>
      </c>
      <c r="AM54" s="77">
        <f>(AL54*$B$11+IF($A54&gt;=Premissas!$B$46+$D$11,$F$11,0))*(1-$E$11)*(1-Premissas!$B$60)</f>
        <v>57205.94323175394</v>
      </c>
      <c r="AN54" s="77">
        <f>-(AL54*$J$11+MAX(0,AL54-AL53)*$H$11+IF($A54-$D$11&lt;=2,Premissas!$B$49,IF($A54-$D$11&lt;=5,Premissas!$B$50,IF($A54-$D$11&lt;=8,Premissas!$B$51,$G$11)))+IF($A54=1+$D$11,Premissas!$B$55,IF($A54=3+$D$11,Premissas!$B$56,IF($A54=6+$D$11,Premissas!$B$57,0))))</f>
        <v>-49685.291400899456</v>
      </c>
      <c r="AO54" s="77">
        <f>AM54+AN54</f>
        <v>7520.651830854484</v>
      </c>
      <c r="AP54" s="77">
        <f>AP53+AO54</f>
        <v>-208519.50643481754</v>
      </c>
      <c r="AQ54" s="78">
        <f>IF(AO54&gt;0,$A54,9999)</f>
        <v>13.0</v>
      </c>
      <c r="AR54" s="78">
        <f>IF(AP54&gt;0,$A54,9999)</f>
        <v>9999.0</v>
      </c>
      <c r="AS54" s="76">
        <f>IF($A54-$D$12&lt;Premissas!$B$41,0,$C$12*(Premissas!$B$39+(Premissas!$B$40-Premissas!$B$39)*$A54/36)/(1+EXP(-$K$12*($A54-$D$12-$I$12))))</f>
        <v>285.4288920387622</v>
      </c>
      <c r="AT54" s="77">
        <f>(AS54*$B$12+IF($A54&gt;=Premissas!$B$46+$D$12,$F$12,0))*(1-$E$12)*(1-Premissas!$B$60)</f>
        <v>60803.845588238844</v>
      </c>
      <c r="AU54" s="77">
        <f>-(AS54*$J$12+MAX(0,AS54-AS53)*$H$12+IF($A54-$D$12&lt;=2,Premissas!$B$49,IF($A54-$D$12&lt;=5,Premissas!$B$50,IF($A54-$D$12&lt;=8,Premissas!$B$51,$G$12)))+IF($A54=1+$D$12,Premissas!$B$55,IF($A54=3+$D$12,Premissas!$B$56,IF($A54=6+$D$12,Premissas!$B$57,0))))</f>
        <v>-49685.291400899456</v>
      </c>
      <c r="AV54" s="77">
        <f>AT54+AU54</f>
        <v>11118.554187339389</v>
      </c>
      <c r="AW54" s="77">
        <f>AW53+AV54</f>
        <v>-193490.19969880342</v>
      </c>
      <c r="AX54" s="78">
        <f>IF(AV54&gt;0,$A54,9999)</f>
        <v>13.0</v>
      </c>
      <c r="AY54" s="78">
        <f>IF(AW54&gt;0,$A54,9999)</f>
        <v>9999.0</v>
      </c>
      <c r="AZ54" s="76">
        <f>IF($A54-$D$13&lt;Premissas!$B$41,0,$C$13*(Premissas!$B$39+(Premissas!$B$40-Premissas!$B$39)*$A54/36)/(1+EXP(-$K$13*($A54-$D$13-$I$13))))</f>
        <v>44.56885606027861</v>
      </c>
      <c r="BA54" s="77">
        <f>(AZ54*$B$13+IF($A54&gt;=Premissas!$B$46+$D$13,$F$13,0))*(1-$E$13)*(1-Premissas!$B$60)</f>
        <v>9994.565971517479</v>
      </c>
      <c r="BB54" s="77">
        <f>-(AZ54*$J$13+MAX(0,AZ54-AZ53)*$H$13+IF($A54-$D$13&lt;=2,Premissas!$B$49,IF($A54-$D$13&lt;=5,Premissas!$B$50,IF($A54-$D$13&lt;=8,Premissas!$B$51,$G$13)))+IF($A54=1+$D$13,Premissas!$B$55,IF($A54=3+$D$13,Premissas!$B$56,IF($A54=6+$D$13,Premissas!$B$57,0))))</f>
        <v>-32100.334757545632</v>
      </c>
      <c r="BC54" s="77">
        <f>BA54+BB54</f>
        <v>-22105.76878602815</v>
      </c>
      <c r="BD54" s="77">
        <f>BD53+BC54</f>
        <v>-186105.76878602814</v>
      </c>
      <c r="BE54" s="78">
        <f>IF(BC54&gt;0,$A54,9999)</f>
        <v>9999.0</v>
      </c>
      <c r="BF54" s="78">
        <f>IF(BD54&gt;0,$A54,9999)</f>
        <v>9999.0</v>
      </c>
      <c r="BG54" s="76">
        <f>IF($A54-$D$14&lt;Premissas!$B$41,0,$C$14*(Premissas!$B$39+(Premissas!$B$40-Premissas!$B$39)*$A54/36)/(1+EXP(-$K$14*($A54-$D$14-$I$14))))</f>
        <v>285.4288920387622</v>
      </c>
      <c r="BH54" s="77">
        <f>(BG54*$B$14+IF($A54&gt;=Premissas!$B$46+$D$14,$F$14,0))*(1-$E$14)*(1-Premissas!$B$60)</f>
        <v>71507.42903969243</v>
      </c>
      <c r="BI54" s="77">
        <f>-(BG54*$J$14+MAX(0,BG54-BG53)*$H$14+IF($A54-$D$14&lt;=2,Premissas!$B$49,IF($A54-$D$14&lt;=5,Premissas!$B$50,IF($A54-$D$14&lt;=8,Premissas!$B$51,$G$14)))+IF($A54=1+$D$14,Premissas!$B$55,IF($A54=3+$D$14,Premissas!$B$56,IF($A54=6+$D$14,Premissas!$B$57,0))))</f>
        <v>-39685.291400899456</v>
      </c>
      <c r="BJ54" s="77">
        <f>BH54+BI54</f>
        <v>31822.137638792978</v>
      </c>
      <c r="BK54" s="77">
        <f>BK53+BJ54</f>
        <v>-105075.36941301724</v>
      </c>
      <c r="BL54" s="78">
        <f>IF(BJ54&gt;0,$A54,9999)</f>
        <v>13.0</v>
      </c>
      <c r="BM54" s="78">
        <f>IF(BK54&gt;0,$A54,9999)</f>
        <v>9999.0</v>
      </c>
      <c r="BN54" s="76">
        <f>IF($A54-$D$15&lt;Premissas!$B$41,0,$C$15*(Premissas!$B$39+(Premissas!$B$40-Premissas!$B$39)*$A54/36)/(1+EXP(-$K$15*($A54-$D$15-$I$15))))</f>
        <v>44.27532295542492</v>
      </c>
      <c r="BO54" s="77">
        <f>(BN54*$B$15+IF($A54&gt;=Premissas!$B$46+$D$15,$F$15,0))*(1-$E$15)*(1-Premissas!$B$60)</f>
        <v>24123.82802278055</v>
      </c>
      <c r="BP54" s="77">
        <f>-(BN54*$J$15+MAX(0,BN54-BN53)*$H$15+IF($A54-$D$15&lt;=2,Premissas!$B$49,IF($A54-$D$15&lt;=5,Premissas!$B$50,IF($A54-$D$15&lt;=8,Premissas!$B$51,$G$15)))+IF($A54=1+$D$15,Premissas!$B$55,IF($A54=3+$D$15,Premissas!$B$56,IF($A54=6+$D$15,Premissas!$B$57,0))))</f>
        <v>-40919.986884156344</v>
      </c>
      <c r="BQ54" s="77">
        <f>BO54+BP54</f>
        <v>-16796.158861375792</v>
      </c>
      <c r="BR54" s="77">
        <f>BR53+BQ54</f>
        <v>-289231.6831469134</v>
      </c>
      <c r="BS54" s="78">
        <f>IF(BQ54&gt;0,$A54,9999)</f>
        <v>9999.0</v>
      </c>
      <c r="BT54" s="78">
        <f>IF(BR54&gt;0,$A54,9999)</f>
        <v>9999.0</v>
      </c>
      <c r="BU54" s="76">
        <f>IF($A54-$D$16&lt;Premissas!$B$41,0,$C$16*(Premissas!$B$39+(Premissas!$B$40-Premissas!$B$39)*$A54/36)/(1+EXP(-$K$16*($A54-$D$16-$I$16))))</f>
        <v>88.55064591084984</v>
      </c>
      <c r="BV54" s="77">
        <f>(BU54*$B$16+IF($A54&gt;=Premissas!$B$46+$D$16,$F$16,0))*(1-$E$16)*(1-Premissas!$B$60)</f>
        <v>24860.97642961472</v>
      </c>
      <c r="BW54" s="77">
        <f>-(BU54*$J$16+MAX(0,BU54-BU53)*$H$16+IF($A54-$D$16&lt;=2,Premissas!$B$49,IF($A54-$D$16&lt;=5,Premissas!$B$50,IF($A54-$D$16&lt;=8,Premissas!$B$51,$G$16)))+IF($A54=1+$D$16,Premissas!$B$55,IF($A54=3+$D$16,Premissas!$B$56,IF($A54=6+$D$16,Premissas!$B$57,0))))</f>
        <v>-46839.97376831269</v>
      </c>
      <c r="BX54" s="77">
        <f>BV54+BW54</f>
        <v>-21978.99733869797</v>
      </c>
      <c r="BY54" s="77">
        <f>BY53+BX54</f>
        <v>-316396.7130079611</v>
      </c>
      <c r="BZ54" s="78">
        <f>IF(BX54&gt;0,$A54,9999)</f>
        <v>9999.0</v>
      </c>
      <c r="CA54" s="78">
        <f>IF(BY54&gt;0,$A54,9999)</f>
        <v>9999.0</v>
      </c>
      <c r="CB54" s="76">
        <f>IF($A54-$D$17&lt;Premissas!$B$41,0,$C$17*(Premissas!$B$39+(Premissas!$B$40-Premissas!$B$39)*$A54/36)/(1+EXP(-$K$17*($A54-$D$17-$I$17))))</f>
        <v>8.499346546698428</v>
      </c>
      <c r="CC54" s="77">
        <f>(CB54*$B$17+IF($A54&gt;=Premissas!$B$46+$D$17,$F$17,0))*(1-$E$17)*(1-Premissas!$B$60)</f>
        <v>1762.3395064579192</v>
      </c>
      <c r="CD54" s="77">
        <f>-(CB54*$J$17+MAX(0,CB54-CB53)*$H$17+IF($A54-$D$17&lt;=2,Premissas!$B$49,IF($A54-$D$17&lt;=5,Premissas!$B$50,IF($A54-$D$17&lt;=8,Premissas!$B$51,$G$17)))+IF($A54=1+$D$17,Premissas!$B$55,IF($A54=3+$D$17,Premissas!$B$56,IF($A54=6+$D$17,Premissas!$B$57,0))))</f>
        <v>-31782.2092132808</v>
      </c>
      <c r="CE54" s="77">
        <f>CC54+CD54</f>
        <v>-30019.86970682288</v>
      </c>
      <c r="CF54" s="77">
        <f>CF53+CE54</f>
        <v>-194019.86970682288</v>
      </c>
      <c r="CG54" s="78">
        <f>IF(CE54&gt;0,$A54,9999)</f>
        <v>9999.0</v>
      </c>
      <c r="CH54" s="78">
        <f>IF(CF54&gt;0,$A54,9999)</f>
        <v>9999.0</v>
      </c>
    </row>
    <row r="55">
      <c r="A55" s="14" t="n">
        <v>14</v>
      </c>
      <c r="C55" s="76">
        <f>IF($A55-$D$6&lt;Premissas!$B$41,0,$C$6*(Premissas!$B$39+(Premissas!$B$40-Premissas!$B$39)*$A55/36)/(1+EXP(-$K$6*($A55-$D$6-$I$6))))</f>
        <v>111.46955837040474</v>
      </c>
      <c r="D55" s="77">
        <f>(C55*$B$6+IF($A55&gt;=Premissas!$B$46+$D$6,$F$6,0))*(1-$E$6)*(1-Premissas!$B$60)</f>
        <v>45558.78912015911</v>
      </c>
      <c r="E55" s="77">
        <f>-(C55*$J$6+MAX(0,C55-C54)*$H$6+IF($A55-$D$6&lt;=2,Premissas!$B$49,IF($A55-$D$6&lt;=5,Premissas!$B$50,IF($A55-$D$6&lt;=8,Premissas!$B$51,$G$6)))+IF($A55=1+$D$6,Premissas!$B$55,IF($A55=3+$D$6,Premissas!$B$56,IF($A55=6+$D$6,Premissas!$B$57,0))))</f>
        <v>-49183.695110490175</v>
      </c>
      <c r="F55" s="77">
        <f>D55+E55</f>
        <v>-3624.9059903310626</v>
      </c>
      <c r="G55" s="77">
        <f>G54+F55</f>
        <v>-267088.2722841579</v>
      </c>
      <c r="H55" s="78">
        <f>IF(F55&gt;0,$A55,9999)</f>
        <v>9999.0</v>
      </c>
      <c r="I55" s="78">
        <f>IF(G55&gt;0,$A55,9999)</f>
        <v>9999.0</v>
      </c>
      <c r="J55" s="76">
        <f>IF($A55-$D$7&lt;Premissas!$B$41,0,$C$7*(Premissas!$B$39+(Premissas!$B$40-Premissas!$B$39)*$A55/36)/(1+EXP(-$K$7*($A55-$D$7-$I$7))))</f>
        <v>335.4871959900918</v>
      </c>
      <c r="K55" s="77">
        <f>(J55*$B$7+IF($A55&gt;=Premissas!$B$46+$D$7,$F$7,0))*(1-$E$7)*(1-Premissas!$B$60)</f>
        <v>82733.00370077808</v>
      </c>
      <c r="L55" s="77">
        <f>-(J55*$J$7+MAX(0,J55-J54)*$H$7+IF($A55-$D$7&lt;=2,Premissas!$B$49,IF($A55-$D$7&lt;=5,Premissas!$B$50,IF($A55-$D$7&lt;=8,Premissas!$B$51,$G$7)))+IF($A55=1+$D$7,Premissas!$B$55,IF($A55=3+$D$7,Premissas!$B$56,IF($A55=6+$D$7,Premissas!$B$57,0))))</f>
        <v>-51593.377429150336</v>
      </c>
      <c r="M55" s="77">
        <f>K55+L55</f>
        <v>31139.62627162774</v>
      </c>
      <c r="N55" s="77">
        <f>N54+M55</f>
        <v>-123935.7431413895</v>
      </c>
      <c r="O55" s="78">
        <f>IF(M55&gt;0,$A55,9999)</f>
        <v>14.0</v>
      </c>
      <c r="P55" s="78">
        <f>IF(N55&gt;0,$A55,9999)</f>
        <v>9999.0</v>
      </c>
      <c r="Q55" s="76">
        <f>IF($A55-$D$8&lt;Premissas!$B$41,0,$C$8*(Premissas!$B$39+(Premissas!$B$40-Premissas!$B$39)*$A55/36)/(1+EXP(-$K$8*($A55-$D$8-$I$8))))</f>
        <v>335.4871959900918</v>
      </c>
      <c r="R55" s="77">
        <f>(Q55*$B$8+IF($A55&gt;=Premissas!$B$46+$D$8,$F$8,0))*(1-$E$8)*(1-Premissas!$B$60)</f>
        <v>110310.67160103744</v>
      </c>
      <c r="S55" s="77">
        <f>-(Q55*$J$8+MAX(0,Q55-Q54)*$H$8+IF($A55-$D$8&lt;=2,Premissas!$B$49,IF($A55-$D$8&lt;=5,Premissas!$B$50,IF($A55-$D$8&lt;=8,Premissas!$B$51,$G$8)))+IF($A55=1+$D$8,Premissas!$B$55,IF($A55=3+$D$8,Premissas!$B$56,IF($A55=6+$D$8,Premissas!$B$57,0))))</f>
        <v>-51593.377429150336</v>
      </c>
      <c r="T55" s="77">
        <f>R55+S55</f>
        <v>58717.2941718871</v>
      </c>
      <c r="U55" s="77">
        <f>U54+T55</f>
        <v>-7284.513538129642</v>
      </c>
      <c r="V55" s="78">
        <f>IF(T55&gt;0,$A55,9999)</f>
        <v>14.0</v>
      </c>
      <c r="W55" s="78">
        <f>IF(U55&gt;0,$A55,9999)</f>
        <v>9999.0</v>
      </c>
      <c r="X55" s="76">
        <f>IF($A55-$D$9&lt;Premissas!$B$41,0,$C$9*(Premissas!$B$39+(Premissas!$B$40-Premissas!$B$39)*$A55/36)/(1+EXP(-$K$9*($A55-$D$9-$I$9))))</f>
        <v>335.4871959900918</v>
      </c>
      <c r="Y55" s="77">
        <f>(X55*$B$9+IF($A55&gt;=Premissas!$B$46+$D$9,$F$9,0))*(1-$E$9)*(1-Premissas!$B$60)</f>
        <v>88248.53728082996</v>
      </c>
      <c r="Z55" s="77">
        <f>-(X55*$J$9+MAX(0,X55-X54)*$H$9+IF($A55-$D$9&lt;=2,Premissas!$B$49,IF($A55-$D$9&lt;=5,Premissas!$B$50,IF($A55-$D$9&lt;=8,Premissas!$B$51,$G$9)))+IF($A55=1+$D$9,Premissas!$B$55,IF($A55=3+$D$9,Premissas!$B$56,IF($A55=6+$D$9,Premissas!$B$57,0))))</f>
        <v>-51593.377429150336</v>
      </c>
      <c r="AA55" s="77">
        <f>Y55+Z55</f>
        <v>36655.15985167962</v>
      </c>
      <c r="AB55" s="77">
        <f>AB54+AA55</f>
        <v>-100605.4972207375</v>
      </c>
      <c r="AC55" s="78">
        <f>IF(AA55&gt;0,$A55,9999)</f>
        <v>14.0</v>
      </c>
      <c r="AD55" s="78">
        <f>IF(AB55&gt;0,$A55,9999)</f>
        <v>9999.0</v>
      </c>
      <c r="AE55" s="76">
        <f>IF($A55-$D$10&lt;Premissas!$B$41,0,$C$10*(Premissas!$B$39+(Premissas!$B$40-Premissas!$B$39)*$A55/36)/(1+EXP(-$K$10*($A55-$D$10-$I$10))))</f>
        <v>335.4871959900918</v>
      </c>
      <c r="AF55" s="77">
        <f>(AE55*$B$10+IF($A55&gt;=Premissas!$B$46+$D$10,$F$10,0))*(1-$E$10)*(1-Premissas!$B$60)</f>
        <v>77217.4701207262</v>
      </c>
      <c r="AG55" s="77">
        <f>-(AE55*$J$10+MAX(0,AE55-AE54)*$H$10+IF($A55-$D$10&lt;=2,Premissas!$B$49,IF($A55-$D$10&lt;=5,Premissas!$B$50,IF($A55-$D$10&lt;=8,Premissas!$B$51,$G$10)))+IF($A55=1+$D$10,Premissas!$B$55,IF($A55=3+$D$10,Premissas!$B$56,IF($A55=6+$D$10,Premissas!$B$57,0))))</f>
        <v>-51593.377429150336</v>
      </c>
      <c r="AH55" s="77">
        <f>AF55+AG55</f>
        <v>25624.09269157586</v>
      </c>
      <c r="AI55" s="77">
        <f>AI54+AH55</f>
        <v>-147265.9890620415</v>
      </c>
      <c r="AJ55" s="78">
        <f>IF(AH55&gt;0,$A55,9999)</f>
        <v>14.0</v>
      </c>
      <c r="AK55" s="78">
        <f>IF(AI55&gt;0,$A55,9999)</f>
        <v>9999.0</v>
      </c>
      <c r="AL55" s="76">
        <f>IF($A55-$D$11&lt;Premissas!$B$41,0,$C$11*(Premissas!$B$39+(Premissas!$B$40-Premissas!$B$39)*$A55/36)/(1+EXP(-$K$11*($A55-$D$11-$I$11))))</f>
        <v>335.4871959900918</v>
      </c>
      <c r="AM55" s="77">
        <f>(AL55*$B$11+IF($A55&gt;=Premissas!$B$46+$D$11,$F$11,0))*(1-$E$11)*(1-Premissas!$B$60)</f>
        <v>66186.40296062246</v>
      </c>
      <c r="AN55" s="77">
        <f>-(AL55*$J$11+MAX(0,AL55-AL54)*$H$11+IF($A55-$D$11&lt;=2,Premissas!$B$49,IF($A55-$D$11&lt;=5,Premissas!$B$50,IF($A55-$D$11&lt;=8,Premissas!$B$51,$G$11)))+IF($A55=1+$D$11,Premissas!$B$55,IF($A55=3+$D$11,Premissas!$B$56,IF($A55=6+$D$11,Premissas!$B$57,0))))</f>
        <v>-51593.377429150336</v>
      </c>
      <c r="AO55" s="77">
        <f>AM55+AN55</f>
        <v>14593.025531472129</v>
      </c>
      <c r="AP55" s="77">
        <f>AP54+AO55</f>
        <v>-193926.4809033454</v>
      </c>
      <c r="AQ55" s="78">
        <f>IF(AO55&gt;0,$A55,9999)</f>
        <v>14.0</v>
      </c>
      <c r="AR55" s="78">
        <f>IF(AP55&gt;0,$A55,9999)</f>
        <v>9999.0</v>
      </c>
      <c r="AS55" s="76">
        <f>IF($A55-$D$12&lt;Premissas!$B$41,0,$C$12*(Premissas!$B$39+(Premissas!$B$40-Premissas!$B$39)*$A55/36)/(1+EXP(-$K$12*($A55-$D$12-$I$12))))</f>
        <v>335.4871959900918</v>
      </c>
      <c r="AT55" s="77">
        <f>(AS55*$B$12+IF($A55&gt;=Premissas!$B$46+$D$12,$F$12,0))*(1-$E$12)*(1-Premissas!$B$60)</f>
        <v>70152.23385114963</v>
      </c>
      <c r="AU55" s="77">
        <f>-(AS55*$J$12+MAX(0,AS55-AS54)*$H$12+IF($A55-$D$12&lt;=2,Premissas!$B$49,IF($A55-$D$12&lt;=5,Premissas!$B$50,IF($A55-$D$12&lt;=8,Premissas!$B$51,$G$12)))+IF($A55=1+$D$12,Premissas!$B$55,IF($A55=3+$D$12,Premissas!$B$56,IF($A55=6+$D$12,Premissas!$B$57,0))))</f>
        <v>-51593.377429150336</v>
      </c>
      <c r="AV55" s="77">
        <f>AT55+AU55</f>
        <v>18558.8564219993</v>
      </c>
      <c r="AW55" s="77">
        <f>AW54+AV55</f>
        <v>-174931.34327680414</v>
      </c>
      <c r="AX55" s="78">
        <f>IF(AV55&gt;0,$A55,9999)</f>
        <v>14.0</v>
      </c>
      <c r="AY55" s="78">
        <f>IF(AW55&gt;0,$A55,9999)</f>
        <v>9999.0</v>
      </c>
      <c r="AZ55" s="76">
        <f>IF($A55-$D$13&lt;Premissas!$B$41,0,$C$13*(Premissas!$B$39+(Premissas!$B$40-Premissas!$B$39)*$A55/36)/(1+EXP(-$K$13*($A55-$D$13-$I$13))))</f>
        <v>66.937547372861</v>
      </c>
      <c r="BA55" s="77">
        <f>(AZ55*$B$13+IF($A55&gt;=Premissas!$B$46+$D$13,$F$13,0))*(1-$E$13)*(1-Premissas!$B$60)</f>
        <v>15010.74499836408</v>
      </c>
      <c r="BB55" s="77">
        <f>-(AZ55*$J$13+MAX(0,AZ55-AZ54)*$H$13+IF($A55-$D$13&lt;=2,Premissas!$B$49,IF($A55-$D$13&lt;=5,Premissas!$B$50,IF($A55-$D$13&lt;=8,Premissas!$B$51,$G$13)))+IF($A55=1+$D$13,Premissas!$B$55,IF($A55=3+$D$13,Premissas!$B$56,IF($A55=6+$D$13,Premissas!$B$57,0))))</f>
        <v>-31929.81155528928</v>
      </c>
      <c r="BC55" s="77">
        <f>BA55+BB55</f>
        <v>-16919.0665569252</v>
      </c>
      <c r="BD55" s="77">
        <f>BD54+BC55</f>
        <v>-203024.83534295333</v>
      </c>
      <c r="BE55" s="78">
        <f>IF(BC55&gt;0,$A55,9999)</f>
        <v>9999.0</v>
      </c>
      <c r="BF55" s="78">
        <f>IF(BD55&gt;0,$A55,9999)</f>
        <v>9999.0</v>
      </c>
      <c r="BG55" s="76">
        <f>IF($A55-$D$14&lt;Premissas!$B$41,0,$C$14*(Premissas!$B$39+(Premissas!$B$40-Premissas!$B$39)*$A55/36)/(1+EXP(-$K$14*($A55-$D$14-$I$14))))</f>
        <v>335.4871959900918</v>
      </c>
      <c r="BH55" s="77">
        <f>(BG55*$B$14+IF($A55&gt;=Premissas!$B$46+$D$14,$F$14,0))*(1-$E$14)*(1-Premissas!$B$60)</f>
        <v>82733.00370077808</v>
      </c>
      <c r="BI55" s="77">
        <f>-(BG55*$J$14+MAX(0,BG55-BG54)*$H$14+IF($A55-$D$14&lt;=2,Premissas!$B$49,IF($A55-$D$14&lt;=5,Premissas!$B$50,IF($A55-$D$14&lt;=8,Premissas!$B$51,$G$14)))+IF($A55=1+$D$14,Premissas!$B$55,IF($A55=3+$D$14,Premissas!$B$56,IF($A55=6+$D$14,Premissas!$B$57,0))))</f>
        <v>-41593.377429150336</v>
      </c>
      <c r="BJ55" s="77">
        <f>BH55+BI55</f>
        <v>41139.62627162774</v>
      </c>
      <c r="BK55" s="77">
        <f>BK54+BJ55</f>
        <v>-63935.743141389496</v>
      </c>
      <c r="BL55" s="78">
        <f>IF(BJ55&gt;0,$A55,9999)</f>
        <v>14.0</v>
      </c>
      <c r="BM55" s="78">
        <f>IF(BK55&gt;0,$A55,9999)</f>
        <v>9999.0</v>
      </c>
      <c r="BN55" s="76">
        <f>IF($A55-$D$15&lt;Premissas!$B$41,0,$C$15*(Premissas!$B$39+(Premissas!$B$40-Premissas!$B$39)*$A55/36)/(1+EXP(-$K$15*($A55-$D$15-$I$15))))</f>
        <v>55.73477918520237</v>
      </c>
      <c r="BO55" s="77">
        <f>(BN55*$B$15+IF($A55&gt;=Premissas!$B$46+$D$15,$F$15,0))*(1-$E$15)*(1-Premissas!$B$60)</f>
        <v>27779.394560079556</v>
      </c>
      <c r="BP55" s="77">
        <f>-(BN55*$J$15+MAX(0,BN55-BN54)*$H$15+IF($A55-$D$15&lt;=2,Premissas!$B$49,IF($A55-$D$15&lt;=5,Premissas!$B$50,IF($A55-$D$15&lt;=8,Premissas!$B$51,$G$15)))+IF($A55=1+$D$15,Premissas!$B$55,IF($A55=3+$D$15,Premissas!$B$56,IF($A55=6+$D$15,Premissas!$B$57,0))))</f>
        <v>-42091.847555245084</v>
      </c>
      <c r="BQ55" s="77">
        <f>BO55+BP55</f>
        <v>-14312.452995165528</v>
      </c>
      <c r="BR55" s="77">
        <f>BR54+BQ55</f>
        <v>-303544.13614207896</v>
      </c>
      <c r="BS55" s="78">
        <f>IF(BQ55&gt;0,$A55,9999)</f>
        <v>9999.0</v>
      </c>
      <c r="BT55" s="78">
        <f>IF(BR55&gt;0,$A55,9999)</f>
        <v>9999.0</v>
      </c>
      <c r="BU55" s="76">
        <f>IF($A55-$D$16&lt;Premissas!$B$41,0,$C$16*(Premissas!$B$39+(Premissas!$B$40-Premissas!$B$39)*$A55/36)/(1+EXP(-$K$16*($A55-$D$16-$I$16))))</f>
        <v>111.46955837040474</v>
      </c>
      <c r="BV55" s="77">
        <f>(BU55*$B$16+IF($A55&gt;=Premissas!$B$46+$D$16,$F$16,0))*(1-$E$16)*(1-Premissas!$B$60)</f>
        <v>29613.212928103425</v>
      </c>
      <c r="BW55" s="77">
        <f>-(BU55*$J$16+MAX(0,BU55-BU54)*$H$16+IF($A55-$D$16&lt;=2,Premissas!$B$49,IF($A55-$D$16&lt;=5,Premissas!$B$50,IF($A55-$D$16&lt;=8,Premissas!$B$51,$G$16)))+IF($A55=1+$D$16,Premissas!$B$55,IF($A55=3+$D$16,Premissas!$B$56,IF($A55=6+$D$16,Premissas!$B$57,0))))</f>
        <v>-49183.695110490175</v>
      </c>
      <c r="BX55" s="77">
        <f>BV55+BW55</f>
        <v>-19570.48218238675</v>
      </c>
      <c r="BY55" s="77">
        <f>BY54+BX55</f>
        <v>-335967.19519034785</v>
      </c>
      <c r="BZ55" s="78">
        <f>IF(BX55&gt;0,$A55,9999)</f>
        <v>9999.0</v>
      </c>
      <c r="CA55" s="78">
        <f>IF(BY55&gt;0,$A55,9999)</f>
        <v>9999.0</v>
      </c>
      <c r="CB55" s="76">
        <f>IF($A55-$D$17&lt;Premissas!$B$41,0,$C$17*(Premissas!$B$39+(Premissas!$B$40-Premissas!$B$39)*$A55/36)/(1+EXP(-$K$17*($A55-$D$17-$I$17))))</f>
        <v>11.58415890269807</v>
      </c>
      <c r="CC55" s="77">
        <f>(CB55*$B$17+IF($A55&gt;=Premissas!$B$46+$D$17,$F$17,0))*(1-$E$17)*(1-Premissas!$B$60)</f>
        <v>2401.9753484744447</v>
      </c>
      <c r="CD55" s="77">
        <f>-(CB55*$J$17+MAX(0,CB55-CB54)*$H$17+IF($A55-$D$17&lt;=2,Premissas!$B$49,IF($A55-$D$17&lt;=5,Premissas!$B$50,IF($A55-$D$17&lt;=8,Premissas!$B$51,$G$17)))+IF($A55=1+$D$17,Premissas!$B$55,IF($A55=3+$D$17,Premissas!$B$56,IF($A55=6+$D$17,Premissas!$B$57,0))))</f>
        <v>-29755.21209302127</v>
      </c>
      <c r="CE55" s="77">
        <f>CC55+CD55</f>
        <v>-27353.236744546826</v>
      </c>
      <c r="CF55" s="77">
        <f>CF54+CE55</f>
        <v>-221373.1064513697</v>
      </c>
      <c r="CG55" s="78">
        <f>IF(CE55&gt;0,$A55,9999)</f>
        <v>9999.0</v>
      </c>
      <c r="CH55" s="78">
        <f>IF(CF55&gt;0,$A55,9999)</f>
        <v>9999.0</v>
      </c>
    </row>
    <row r="56">
      <c r="A56" s="14" t="n">
        <v>15</v>
      </c>
      <c r="C56" s="76">
        <f>IF($A56-$D$6&lt;Premissas!$B$41,0,$C$6*(Premissas!$B$39+(Premissas!$B$40-Premissas!$B$39)*$A56/36)/(1+EXP(-$K$6*($A56-$D$6-$I$6))))</f>
        <v>137.10699030280279</v>
      </c>
      <c r="D56" s="77">
        <f>(C56*$B$6+IF($A56&gt;=Premissas!$B$46+$D$6,$F$6,0))*(1-$E$6)*(1-Premissas!$B$60)</f>
        <v>53737.12990659409</v>
      </c>
      <c r="E56" s="77">
        <f>-(C56*$J$6+MAX(0,C56-C55)*$H$6+IF($A56-$D$6&lt;=2,Premissas!$B$49,IF($A56-$D$6&lt;=5,Premissas!$B$50,IF($A56-$D$6&lt;=8,Premissas!$B$51,$G$6)))+IF($A56=1+$D$6,Premissas!$B$55,IF($A56=3+$D$6,Premissas!$B$56,IF($A56=6+$D$6,Premissas!$B$57,0))))</f>
        <v>-51424.787336585345</v>
      </c>
      <c r="F56" s="77">
        <f>D56+E56</f>
        <v>2312.3425700087464</v>
      </c>
      <c r="G56" s="77">
        <f>G55+F56</f>
        <v>-264775.92971414916</v>
      </c>
      <c r="H56" s="78">
        <f>IF(F56&gt;0,$A56,9999)</f>
        <v>15.0</v>
      </c>
      <c r="I56" s="78">
        <f>IF(G56&gt;0,$A56,9999)</f>
        <v>9999.0</v>
      </c>
      <c r="J56" s="76">
        <f>IF($A56-$D$7&lt;Premissas!$B$41,0,$C$7*(Premissas!$B$39+(Premissas!$B$40-Premissas!$B$39)*$A56/36)/(1+EXP(-$K$7*($A56-$D$7-$I$7))))</f>
        <v>378.2803395191679</v>
      </c>
      <c r="K56" s="77">
        <f>(J56*$B$7+IF($A56&gt;=Premissas!$B$46+$D$7,$F$7,0))*(1-$E$7)*(1-Premissas!$B$60)</f>
        <v>92329.3661371734</v>
      </c>
      <c r="L56" s="77">
        <f>-(J56*$J$7+MAX(0,J56-J55)*$H$7+IF($A56-$D$7&lt;=2,Premissas!$B$49,IF($A56-$D$7&lt;=5,Premissas!$B$50,IF($A56-$D$7&lt;=8,Premissas!$B$51,$G$7)))+IF($A56=1+$D$7,Premissas!$B$55,IF($A56=3+$D$7,Premissas!$B$56,IF($A56=6+$D$7,Premissas!$B$57,0))))</f>
        <v>-53027.43143625886</v>
      </c>
      <c r="M56" s="77">
        <f>K56+L56</f>
        <v>39301.93470091454</v>
      </c>
      <c r="N56" s="77">
        <f>N55+M56</f>
        <v>-84633.80844047495</v>
      </c>
      <c r="O56" s="78">
        <f>IF(M56&gt;0,$A56,9999)</f>
        <v>15.0</v>
      </c>
      <c r="P56" s="78">
        <f>IF(N56&gt;0,$A56,9999)</f>
        <v>9999.0</v>
      </c>
      <c r="Q56" s="76">
        <f>IF($A56-$D$8&lt;Premissas!$B$41,0,$C$8*(Premissas!$B$39+(Premissas!$B$40-Premissas!$B$39)*$A56/36)/(1+EXP(-$K$8*($A56-$D$8-$I$8))))</f>
        <v>378.2803395191679</v>
      </c>
      <c r="R56" s="77">
        <f>(Q56*$B$8+IF($A56&gt;=Premissas!$B$46+$D$8,$F$8,0))*(1-$E$8)*(1-Premissas!$B$60)</f>
        <v>123105.82151623121</v>
      </c>
      <c r="S56" s="77">
        <f>-(Q56*$J$8+MAX(0,Q56-Q55)*$H$8+IF($A56-$D$8&lt;=2,Premissas!$B$49,IF($A56-$D$8&lt;=5,Premissas!$B$50,IF($A56-$D$8&lt;=8,Premissas!$B$51,$G$8)))+IF($A56=1+$D$8,Premissas!$B$55,IF($A56=3+$D$8,Premissas!$B$56,IF($A56=6+$D$8,Premissas!$B$57,0))))</f>
        <v>-53027.43143625886</v>
      </c>
      <c r="T56" s="77">
        <f>R56+S56</f>
        <v>70078.39007997235</v>
      </c>
      <c r="U56" s="77">
        <f>U55+T56</f>
        <v>62793.87654184271</v>
      </c>
      <c r="V56" s="78">
        <f>IF(T56&gt;0,$A56,9999)</f>
        <v>15.0</v>
      </c>
      <c r="W56" s="78">
        <f>IF(U56&gt;0,$A56,9999)</f>
        <v>15.0</v>
      </c>
      <c r="X56" s="76">
        <f>IF($A56-$D$9&lt;Premissas!$B$41,0,$C$9*(Premissas!$B$39+(Premissas!$B$40-Premissas!$B$39)*$A56/36)/(1+EXP(-$K$9*($A56-$D$9-$I$9))))</f>
        <v>378.2803395191679</v>
      </c>
      <c r="Y56" s="77">
        <f>(X56*$B$9+IF($A56&gt;=Premissas!$B$46+$D$9,$F$9,0))*(1-$E$9)*(1-Premissas!$B$60)</f>
        <v>98484.65721298498</v>
      </c>
      <c r="Z56" s="77">
        <f>-(X56*$J$9+MAX(0,X56-X55)*$H$9+IF($A56-$D$9&lt;=2,Premissas!$B$49,IF($A56-$D$9&lt;=5,Premissas!$B$50,IF($A56-$D$9&lt;=8,Premissas!$B$51,$G$9)))+IF($A56=1+$D$9,Premissas!$B$55,IF($A56=3+$D$9,Premissas!$B$56,IF($A56=6+$D$9,Premissas!$B$57,0))))</f>
        <v>-53027.43143625886</v>
      </c>
      <c r="AA56" s="77">
        <f>Y56+Z56</f>
        <v>45457.22577672612</v>
      </c>
      <c r="AB56" s="77">
        <f>AB55+AA56</f>
        <v>-55148.27144401138</v>
      </c>
      <c r="AC56" s="78">
        <f>IF(AA56&gt;0,$A56,9999)</f>
        <v>15.0</v>
      </c>
      <c r="AD56" s="78">
        <f>IF(AB56&gt;0,$A56,9999)</f>
        <v>9999.0</v>
      </c>
      <c r="AE56" s="76">
        <f>IF($A56-$D$10&lt;Premissas!$B$41,0,$C$10*(Premissas!$B$39+(Premissas!$B$40-Premissas!$B$39)*$A56/36)/(1+EXP(-$K$10*($A56-$D$10-$I$10))))</f>
        <v>378.2803395191679</v>
      </c>
      <c r="AF56" s="77">
        <f>(AE56*$B$10+IF($A56&gt;=Premissas!$B$46+$D$10,$F$10,0))*(1-$E$10)*(1-Premissas!$B$60)</f>
        <v>86174.07506136184</v>
      </c>
      <c r="AG56" s="77">
        <f>-(AE56*$J$10+MAX(0,AE56-AE55)*$H$10+IF($A56-$D$10&lt;=2,Premissas!$B$49,IF($A56-$D$10&lt;=5,Premissas!$B$50,IF($A56-$D$10&lt;=8,Premissas!$B$51,$G$10)))+IF($A56=1+$D$10,Premissas!$B$55,IF($A56=3+$D$10,Premissas!$B$56,IF($A56=6+$D$10,Premissas!$B$57,0))))</f>
        <v>-53027.43143625886</v>
      </c>
      <c r="AH56" s="77">
        <f>AF56+AG56</f>
        <v>33146.64362510298</v>
      </c>
      <c r="AI56" s="77">
        <f>AI55+AH56</f>
        <v>-114119.34543693853</v>
      </c>
      <c r="AJ56" s="78">
        <f>IF(AH56&gt;0,$A56,9999)</f>
        <v>15.0</v>
      </c>
      <c r="AK56" s="78">
        <f>IF(AI56&gt;0,$A56,9999)</f>
        <v>9999.0</v>
      </c>
      <c r="AL56" s="76">
        <f>IF($A56-$D$11&lt;Premissas!$B$41,0,$C$11*(Premissas!$B$39+(Premissas!$B$40-Premissas!$B$39)*$A56/36)/(1+EXP(-$K$11*($A56-$D$11-$I$11))))</f>
        <v>378.2803395191679</v>
      </c>
      <c r="AM56" s="77">
        <f>(AL56*$B$11+IF($A56&gt;=Premissas!$B$46+$D$11,$F$11,0))*(1-$E$11)*(1-Premissas!$B$60)</f>
        <v>73863.49290973872</v>
      </c>
      <c r="AN56" s="77">
        <f>-(AL56*$J$11+MAX(0,AL56-AL55)*$H$11+IF($A56-$D$11&lt;=2,Premissas!$B$49,IF($A56-$D$11&lt;=5,Premissas!$B$50,IF($A56-$D$11&lt;=8,Premissas!$B$51,$G$11)))+IF($A56=1+$D$11,Premissas!$B$55,IF($A56=3+$D$11,Premissas!$B$56,IF($A56=6+$D$11,Premissas!$B$57,0))))</f>
        <v>-53027.43143625886</v>
      </c>
      <c r="AO56" s="77">
        <f>AM56+AN56</f>
        <v>20836.06147347986</v>
      </c>
      <c r="AP56" s="77">
        <f>AP55+AO56</f>
        <v>-173090.41942986555</v>
      </c>
      <c r="AQ56" s="78">
        <f>IF(AO56&gt;0,$A56,9999)</f>
        <v>15.0</v>
      </c>
      <c r="AR56" s="78">
        <f>IF(AP56&gt;0,$A56,9999)</f>
        <v>9999.0</v>
      </c>
      <c r="AS56" s="76">
        <f>IF($A56-$D$12&lt;Premissas!$B$41,0,$C$12*(Premissas!$B$39+(Premissas!$B$40-Premissas!$B$39)*$A56/36)/(1+EXP(-$K$12*($A56-$D$12-$I$12))))</f>
        <v>378.2803395191679</v>
      </c>
      <c r="AT56" s="77">
        <f>(AS56*$B$12+IF($A56&gt;=Premissas!$B$46+$D$12,$F$12,0))*(1-$E$12)*(1-Premissas!$B$60)</f>
        <v>78143.85340520462</v>
      </c>
      <c r="AU56" s="77">
        <f>-(AS56*$J$12+MAX(0,AS56-AS55)*$H$12+IF($A56-$D$12&lt;=2,Premissas!$B$49,IF($A56-$D$12&lt;=5,Premissas!$B$50,IF($A56-$D$12&lt;=8,Premissas!$B$51,$G$12)))+IF($A56=1+$D$12,Premissas!$B$55,IF($A56=3+$D$12,Premissas!$B$56,IF($A56=6+$D$12,Premissas!$B$57,0))))</f>
        <v>-53027.43143625886</v>
      </c>
      <c r="AV56" s="77">
        <f>AT56+AU56</f>
        <v>25116.421968945753</v>
      </c>
      <c r="AW56" s="77">
        <f>AW55+AV56</f>
        <v>-149814.92130785837</v>
      </c>
      <c r="AX56" s="78">
        <f>IF(AV56&gt;0,$A56,9999)</f>
        <v>15.0</v>
      </c>
      <c r="AY56" s="78">
        <f>IF(AW56&gt;0,$A56,9999)</f>
        <v>9999.0</v>
      </c>
      <c r="AZ56" s="76">
        <f>IF($A56-$D$13&lt;Premissas!$B$41,0,$C$13*(Premissas!$B$39+(Premissas!$B$40-Premissas!$B$39)*$A56/36)/(1+EXP(-$K$13*($A56-$D$13-$I$13))))</f>
        <v>98.06549381416541</v>
      </c>
      <c r="BA56" s="77">
        <f>(AZ56*$B$13+IF($A56&gt;=Premissas!$B$46+$D$13,$F$13,0))*(1-$E$13)*(1-Premissas!$B$60)</f>
        <v>29491.186987826593</v>
      </c>
      <c r="BB56" s="77">
        <f>-(AZ56*$J$13+MAX(0,AZ56-AZ55)*$H$13+IF($A56-$D$13&lt;=2,Premissas!$B$49,IF($A56-$D$13&lt;=5,Premissas!$B$50,IF($A56-$D$13&lt;=8,Premissas!$B$51,$G$13)))+IF($A56=1+$D$13,Premissas!$B$55,IF($A56=3+$D$13,Premissas!$B$56,IF($A56=6+$D$13,Premissas!$B$57,0))))</f>
        <v>-40675.14806226017</v>
      </c>
      <c r="BC56" s="77">
        <f>BA56+BB56</f>
        <v>-11183.961074433573</v>
      </c>
      <c r="BD56" s="77">
        <f>BD55+BC56</f>
        <v>-214208.7964173869</v>
      </c>
      <c r="BE56" s="78">
        <f>IF(BC56&gt;0,$A56,9999)</f>
        <v>9999.0</v>
      </c>
      <c r="BF56" s="78">
        <f>IF(BD56&gt;0,$A56,9999)</f>
        <v>9999.0</v>
      </c>
      <c r="BG56" s="76">
        <f>IF($A56-$D$14&lt;Premissas!$B$41,0,$C$14*(Premissas!$B$39+(Premissas!$B$40-Premissas!$B$39)*$A56/36)/(1+EXP(-$K$14*($A56-$D$14-$I$14))))</f>
        <v>378.2803395191679</v>
      </c>
      <c r="BH56" s="77">
        <f>(BG56*$B$14+IF($A56&gt;=Premissas!$B$46+$D$14,$F$14,0))*(1-$E$14)*(1-Premissas!$B$60)</f>
        <v>92329.3661371734</v>
      </c>
      <c r="BI56" s="77">
        <f>-(BG56*$J$14+MAX(0,BG56-BG55)*$H$14+IF($A56-$D$14&lt;=2,Premissas!$B$49,IF($A56-$D$14&lt;=5,Premissas!$B$50,IF($A56-$D$14&lt;=8,Premissas!$B$51,$G$14)))+IF($A56=1+$D$14,Premissas!$B$55,IF($A56=3+$D$14,Premissas!$B$56,IF($A56=6+$D$14,Premissas!$B$57,0))))</f>
        <v>-43027.43143625886</v>
      </c>
      <c r="BJ56" s="77">
        <f>BH56+BI56</f>
        <v>49301.93470091454</v>
      </c>
      <c r="BK56" s="77">
        <f>BK55+BJ56</f>
        <v>-14633.808440474953</v>
      </c>
      <c r="BL56" s="78">
        <f>IF(BJ56&gt;0,$A56,9999)</f>
        <v>15.0</v>
      </c>
      <c r="BM56" s="78">
        <f>IF(BK56&gt;0,$A56,9999)</f>
        <v>9999.0</v>
      </c>
      <c r="BN56" s="76">
        <f>IF($A56-$D$15&lt;Premissas!$B$41,0,$C$15*(Premissas!$B$39+(Premissas!$B$40-Premissas!$B$39)*$A56/36)/(1+EXP(-$K$15*($A56-$D$15-$I$15))))</f>
        <v>68.55349515140139</v>
      </c>
      <c r="BO56" s="77">
        <f>(BN56*$B$15+IF($A56&gt;=Premissas!$B$46+$D$15,$F$15,0))*(1-$E$15)*(1-Premissas!$B$60)</f>
        <v>31868.564953297046</v>
      </c>
      <c r="BP56" s="77">
        <f>-(BN56*$J$15+MAX(0,BN56-BN55)*$H$15+IF($A56-$D$15&lt;=2,Premissas!$B$49,IF($A56-$D$15&lt;=5,Premissas!$B$50,IF($A56-$D$15&lt;=8,Premissas!$B$51,$G$15)))+IF($A56=1+$D$15,Premissas!$B$55,IF($A56=3+$D$15,Premissas!$B$56,IF($A56=6+$D$15,Premissas!$B$57,0))))</f>
        <v>-43212.39366829267</v>
      </c>
      <c r="BQ56" s="77">
        <f>BO56+BP56</f>
        <v>-11343.828714995627</v>
      </c>
      <c r="BR56" s="77">
        <f>BR55+BQ56</f>
        <v>-314887.9648570746</v>
      </c>
      <c r="BS56" s="78">
        <f>IF(BQ56&gt;0,$A56,9999)</f>
        <v>9999.0</v>
      </c>
      <c r="BT56" s="78">
        <f>IF(BR56&gt;0,$A56,9999)</f>
        <v>9999.0</v>
      </c>
      <c r="BU56" s="76">
        <f>IF($A56-$D$16&lt;Premissas!$B$41,0,$C$16*(Premissas!$B$39+(Premissas!$B$40-Premissas!$B$39)*$A56/36)/(1+EXP(-$K$16*($A56-$D$16-$I$16))))</f>
        <v>137.10699030280279</v>
      </c>
      <c r="BV56" s="77">
        <f>(BU56*$B$16+IF($A56&gt;=Premissas!$B$46+$D$16,$F$16,0))*(1-$E$16)*(1-Premissas!$B$60)</f>
        <v>34929.13443928616</v>
      </c>
      <c r="BW56" s="77">
        <f>-(BU56*$J$16+MAX(0,BU56-BU55)*$H$16+IF($A56-$D$16&lt;=2,Premissas!$B$49,IF($A56-$D$16&lt;=5,Premissas!$B$50,IF($A56-$D$16&lt;=8,Premissas!$B$51,$G$16)))+IF($A56=1+$D$16,Premissas!$B$55,IF($A56=3+$D$16,Premissas!$B$56,IF($A56=6+$D$16,Premissas!$B$57,0))))</f>
        <v>-51424.787336585345</v>
      </c>
      <c r="BX56" s="77">
        <f>BV56+BW56</f>
        <v>-16495.652897299187</v>
      </c>
      <c r="BY56" s="77">
        <f>BY55+BX56</f>
        <v>-352462.84808764706</v>
      </c>
      <c r="BZ56" s="78">
        <f>IF(BX56&gt;0,$A56,9999)</f>
        <v>9999.0</v>
      </c>
      <c r="CA56" s="78">
        <f>IF(BY56&gt;0,$A56,9999)</f>
        <v>9999.0</v>
      </c>
      <c r="CB56" s="76">
        <f>IF($A56-$D$17&lt;Premissas!$B$41,0,$C$17*(Premissas!$B$39+(Premissas!$B$40-Premissas!$B$39)*$A56/36)/(1+EXP(-$K$17*($A56-$D$17-$I$17))))</f>
        <v>15.67932476698355</v>
      </c>
      <c r="CC56" s="77">
        <f>(CB56*$B$17+IF($A56&gt;=Premissas!$B$46+$D$17,$F$17,0))*(1-$E$17)*(1-Premissas!$B$60)</f>
        <v>9751.107990434039</v>
      </c>
      <c r="CD56" s="77">
        <f>-(CB56*$J$17+MAX(0,CB56-CB55)*$H$17+IF($A56-$D$17&lt;=2,Premissas!$B$49,IF($A56-$D$17&lt;=5,Premissas!$B$50,IF($A56-$D$17&lt;=8,Premissas!$B$51,$G$17)))+IF($A56=1+$D$17,Premissas!$B$55,IF($A56=3+$D$17,Premissas!$B$56,IF($A56=6+$D$17,Premissas!$B$57,0))))</f>
        <v>-37343.63596022845</v>
      </c>
      <c r="CE56" s="77">
        <f>CC56+CD56</f>
        <v>-27592.527969794413</v>
      </c>
      <c r="CF56" s="77">
        <f>CF55+CE56</f>
        <v>-248965.6344211641</v>
      </c>
      <c r="CG56" s="78">
        <f>IF(CE56&gt;0,$A56,9999)</f>
        <v>9999.0</v>
      </c>
      <c r="CH56" s="78">
        <f>IF(CF56&gt;0,$A56,9999)</f>
        <v>9999.0</v>
      </c>
    </row>
    <row r="57">
      <c r="A57" s="14" t="n">
        <v>16</v>
      </c>
      <c r="C57" s="76">
        <f>IF($A57-$D$6&lt;Premissas!$B$41,0,$C$6*(Premissas!$B$39+(Premissas!$B$40-Premissas!$B$39)*$A57/36)/(1+EXP(-$K$6*($A57-$D$6-$I$6))))</f>
        <v>164.48611111111111</v>
      </c>
      <c r="D57" s="77">
        <f>(C57*$B$6+IF($A57&gt;=Premissas!$B$46+$D$6,$F$6,0))*(1-$E$6)*(1-Premissas!$B$60)</f>
        <v>62471.069444444445</v>
      </c>
      <c r="E57" s="77">
        <f>-(C57*$J$6+MAX(0,C57-C56)*$H$6+IF($A57-$D$6&lt;=2,Premissas!$B$49,IF($A57-$D$6&lt;=5,Premissas!$B$50,IF($A57-$D$6&lt;=8,Premissas!$B$51,$G$6)))+IF($A57=1+$D$6,Premissas!$B$55,IF($A57=3+$D$6,Premissas!$B$56,IF($A57=6+$D$6,Premissas!$B$57,0))))</f>
        <v>-53353.52332332333</v>
      </c>
      <c r="F57" s="77">
        <f>D57+E57</f>
        <v>9117.546121121115</v>
      </c>
      <c r="G57" s="77">
        <f>G56+F57</f>
        <v>-255658.38359302803</v>
      </c>
      <c r="H57" s="78">
        <f>IF(F57&gt;0,$A57,9999)</f>
        <v>16.0</v>
      </c>
      <c r="I57" s="78">
        <f>IF(G57&gt;0,$A57,9999)</f>
        <v>9999.0</v>
      </c>
      <c r="J57" s="76">
        <f>IF($A57-$D$7&lt;Premissas!$B$41,0,$C$7*(Premissas!$B$39+(Premissas!$B$40-Premissas!$B$39)*$A57/36)/(1+EXP(-$K$7*($A57-$D$7-$I$7))))</f>
        <v>412.60277548992934</v>
      </c>
      <c r="K57" s="77">
        <f>(J57*$B$7+IF($A57&gt;=Premissas!$B$46+$D$7,$F$7,0))*(1-$E$7)*(1-Premissas!$B$60)</f>
        <v>100026.17240361666</v>
      </c>
      <c r="L57" s="77">
        <f>-(J57*$J$7+MAX(0,J57-J56)*$H$7+IF($A57-$D$7&lt;=2,Premissas!$B$49,IF($A57-$D$7&lt;=5,Premissas!$B$50,IF($A57-$D$7&lt;=8,Premissas!$B$51,$G$7)))+IF($A57=1+$D$7,Premissas!$B$55,IF($A57=3+$D$7,Premissas!$B$56,IF($A57=6+$D$7,Premissas!$B$57,0))))</f>
        <v>-54045.4383691151</v>
      </c>
      <c r="M57" s="77">
        <f>K57+L57</f>
        <v>45980.734034501555</v>
      </c>
      <c r="N57" s="77">
        <f>N56+M57</f>
        <v>-38653.0744059734</v>
      </c>
      <c r="O57" s="78">
        <f>IF(M57&gt;0,$A57,9999)</f>
        <v>16.0</v>
      </c>
      <c r="P57" s="78">
        <f>IF(N57&gt;0,$A57,9999)</f>
        <v>9999.0</v>
      </c>
      <c r="Q57" s="76">
        <f>IF($A57-$D$8&lt;Premissas!$B$41,0,$C$8*(Premissas!$B$39+(Premissas!$B$40-Premissas!$B$39)*$A57/36)/(1+EXP(-$K$8*($A57-$D$8-$I$8))))</f>
        <v>412.60277548992934</v>
      </c>
      <c r="R57" s="77">
        <f>(Q57*$B$8+IF($A57&gt;=Premissas!$B$46+$D$8,$F$8,0))*(1-$E$8)*(1-Premissas!$B$60)</f>
        <v>133368.22987148887</v>
      </c>
      <c r="S57" s="77">
        <f>-(Q57*$J$8+MAX(0,Q57-Q56)*$H$8+IF($A57-$D$8&lt;=2,Premissas!$B$49,IF($A57-$D$8&lt;=5,Premissas!$B$50,IF($A57-$D$8&lt;=8,Premissas!$B$51,$G$8)))+IF($A57=1+$D$8,Premissas!$B$55,IF($A57=3+$D$8,Premissas!$B$56,IF($A57=6+$D$8,Premissas!$B$57,0))))</f>
        <v>-54045.4383691151</v>
      </c>
      <c r="T57" s="77">
        <f>R57+S57</f>
        <v>79322.79150237377</v>
      </c>
      <c r="U57" s="77">
        <f>U56+T57</f>
        <v>142116.66804421647</v>
      </c>
      <c r="V57" s="78">
        <f>IF(T57&gt;0,$A57,9999)</f>
        <v>16.0</v>
      </c>
      <c r="W57" s="78">
        <f>IF(U57&gt;0,$A57,9999)</f>
        <v>16.0</v>
      </c>
      <c r="X57" s="76">
        <f>IF($A57-$D$9&lt;Premissas!$B$41,0,$C$9*(Premissas!$B$39+(Premissas!$B$40-Premissas!$B$39)*$A57/36)/(1+EXP(-$K$9*($A57-$D$9-$I$9))))</f>
        <v>412.60277548992934</v>
      </c>
      <c r="Y57" s="77">
        <f>(X57*$B$9+IF($A57&gt;=Premissas!$B$46+$D$9,$F$9,0))*(1-$E$9)*(1-Premissas!$B$60)</f>
        <v>106694.5838971911</v>
      </c>
      <c r="Z57" s="77">
        <f>-(X57*$J$9+MAX(0,X57-X56)*$H$9+IF($A57-$D$9&lt;=2,Premissas!$B$49,IF($A57-$D$9&lt;=5,Premissas!$B$50,IF($A57-$D$9&lt;=8,Premissas!$B$51,$G$9)))+IF($A57=1+$D$9,Premissas!$B$55,IF($A57=3+$D$9,Premissas!$B$56,IF($A57=6+$D$9,Premissas!$B$57,0))))</f>
        <v>-54045.4383691151</v>
      </c>
      <c r="AA57" s="77">
        <f>Y57+Z57</f>
        <v>52649.145528076</v>
      </c>
      <c r="AB57" s="77">
        <f>AB56+AA57</f>
        <v>-2499.1259159353795</v>
      </c>
      <c r="AC57" s="78">
        <f>IF(AA57&gt;0,$A57,9999)</f>
        <v>16.0</v>
      </c>
      <c r="AD57" s="78">
        <f>IF(AB57&gt;0,$A57,9999)</f>
        <v>9999.0</v>
      </c>
      <c r="AE57" s="76">
        <f>IF($A57-$D$10&lt;Premissas!$B$41,0,$C$10*(Premissas!$B$39+(Premissas!$B$40-Premissas!$B$39)*$A57/36)/(1+EXP(-$K$10*($A57-$D$10-$I$10))))</f>
        <v>412.60277548992934</v>
      </c>
      <c r="AF57" s="77">
        <f>(AE57*$B$10+IF($A57&gt;=Premissas!$B$46+$D$10,$F$10,0))*(1-$E$10)*(1-Premissas!$B$60)</f>
        <v>93357.76091004221</v>
      </c>
      <c r="AG57" s="77">
        <f>-(AE57*$J$10+MAX(0,AE57-AE56)*$H$10+IF($A57-$D$10&lt;=2,Premissas!$B$49,IF($A57-$D$10&lt;=5,Premissas!$B$50,IF($A57-$D$10&lt;=8,Premissas!$B$51,$G$10)))+IF($A57=1+$D$10,Premissas!$B$55,IF($A57=3+$D$10,Premissas!$B$56,IF($A57=6+$D$10,Premissas!$B$57,0))))</f>
        <v>-54045.4383691151</v>
      </c>
      <c r="AH57" s="77">
        <f>AF57+AG57</f>
        <v>39312.32254092711</v>
      </c>
      <c r="AI57" s="77">
        <f>AI56+AH57</f>
        <v>-74807.02289601142</v>
      </c>
      <c r="AJ57" s="78">
        <f>IF(AH57&gt;0,$A57,9999)</f>
        <v>16.0</v>
      </c>
      <c r="AK57" s="78">
        <f>IF(AI57&gt;0,$A57,9999)</f>
        <v>9999.0</v>
      </c>
      <c r="AL57" s="76">
        <f>IF($A57-$D$11&lt;Premissas!$B$41,0,$C$11*(Premissas!$B$39+(Premissas!$B$40-Premissas!$B$39)*$A57/36)/(1+EXP(-$K$11*($A57-$D$11-$I$11))))</f>
        <v>412.60277548992934</v>
      </c>
      <c r="AM57" s="77">
        <f>(AL57*$B$11+IF($A57&gt;=Premissas!$B$46+$D$11,$F$11,0))*(1-$E$11)*(1-Premissas!$B$60)</f>
        <v>80020.93792289332</v>
      </c>
      <c r="AN57" s="77">
        <f>-(AL57*$J$11+MAX(0,AL57-AL56)*$H$11+IF($A57-$D$11&lt;=2,Premissas!$B$49,IF($A57-$D$11&lt;=5,Premissas!$B$50,IF($A57-$D$11&lt;=8,Premissas!$B$51,$G$11)))+IF($A57=1+$D$11,Premissas!$B$55,IF($A57=3+$D$11,Premissas!$B$56,IF($A57=6+$D$11,Premissas!$B$57,0))))</f>
        <v>-54045.4383691151</v>
      </c>
      <c r="AO57" s="77">
        <f>AM57+AN57</f>
        <v>25975.499553778223</v>
      </c>
      <c r="AP57" s="77">
        <f>AP56+AO57</f>
        <v>-147114.91987608734</v>
      </c>
      <c r="AQ57" s="78">
        <f>IF(AO57&gt;0,$A57,9999)</f>
        <v>16.0</v>
      </c>
      <c r="AR57" s="78">
        <f>IF(AP57&gt;0,$A57,9999)</f>
        <v>9999.0</v>
      </c>
      <c r="AS57" s="76">
        <f>IF($A57-$D$12&lt;Premissas!$B$41,0,$C$12*(Premissas!$B$39+(Premissas!$B$40-Premissas!$B$39)*$A57/36)/(1+EXP(-$K$12*($A57-$D$12-$I$12))))</f>
        <v>412.60277548992934</v>
      </c>
      <c r="AT57" s="77">
        <f>(AS57*$B$12+IF($A57&gt;=Premissas!$B$46+$D$12,$F$12,0))*(1-$E$12)*(1-Premissas!$B$60)</f>
        <v>84553.56832274431</v>
      </c>
      <c r="AU57" s="77">
        <f>-(AS57*$J$12+MAX(0,AS57-AS56)*$H$12+IF($A57-$D$12&lt;=2,Premissas!$B$49,IF($A57-$D$12&lt;=5,Premissas!$B$50,IF($A57-$D$12&lt;=8,Premissas!$B$51,$G$12)))+IF($A57=1+$D$12,Premissas!$B$55,IF($A57=3+$D$12,Premissas!$B$56,IF($A57=6+$D$12,Premissas!$B$57,0))))</f>
        <v>-54045.4383691151</v>
      </c>
      <c r="AV57" s="77">
        <f>AT57+AU57</f>
        <v>30508.129953629206</v>
      </c>
      <c r="AW57" s="77">
        <f>AW56+AV57</f>
        <v>-119306.79135422916</v>
      </c>
      <c r="AX57" s="78">
        <f>IF(AV57&gt;0,$A57,9999)</f>
        <v>16.0</v>
      </c>
      <c r="AY57" s="78">
        <f>IF(AW57&gt;0,$A57,9999)</f>
        <v>9999.0</v>
      </c>
      <c r="AZ57" s="76">
        <f>IF($A57-$D$13&lt;Premissas!$B$41,0,$C$13*(Premissas!$B$39+(Premissas!$B$40-Premissas!$B$39)*$A57/36)/(1+EXP(-$K$13*($A57-$D$13-$I$13))))</f>
        <v>138.9770849739946</v>
      </c>
      <c r="BA57" s="77">
        <f>(AZ57*$B$13+IF($A57&gt;=Premissas!$B$46+$D$13,$F$13,0))*(1-$E$13)*(1-Premissas!$B$60)</f>
        <v>38665.61130541829</v>
      </c>
      <c r="BB57" s="77">
        <f>-(AZ57*$J$13+MAX(0,AZ57-AZ56)*$H$13+IF($A57-$D$13&lt;=2,Premissas!$B$49,IF($A57-$D$13&lt;=5,Premissas!$B$50,IF($A57-$D$13&lt;=8,Premissas!$B$51,$G$13)))+IF($A57=1+$D$13,Premissas!$B$55,IF($A57=3+$D$13,Premissas!$B$56,IF($A57=6+$D$13,Premissas!$B$57,0))))</f>
        <v>-42882.61712689923</v>
      </c>
      <c r="BC57" s="77">
        <f>BA57+BB57</f>
        <v>-4217.00582148094</v>
      </c>
      <c r="BD57" s="77">
        <f>BD56+BC57</f>
        <v>-218425.80223886785</v>
      </c>
      <c r="BE57" s="78">
        <f>IF(BC57&gt;0,$A57,9999)</f>
        <v>9999.0</v>
      </c>
      <c r="BF57" s="78">
        <f>IF(BD57&gt;0,$A57,9999)</f>
        <v>9999.0</v>
      </c>
      <c r="BG57" s="76">
        <f>IF($A57-$D$14&lt;Premissas!$B$41,0,$C$14*(Premissas!$B$39+(Premissas!$B$40-Premissas!$B$39)*$A57/36)/(1+EXP(-$K$14*($A57-$D$14-$I$14))))</f>
        <v>412.60277548992934</v>
      </c>
      <c r="BH57" s="77">
        <f>(BG57*$B$14+IF($A57&gt;=Premissas!$B$46+$D$14,$F$14,0))*(1-$E$14)*(1-Premissas!$B$60)</f>
        <v>100026.17240361666</v>
      </c>
      <c r="BI57" s="77">
        <f>-(BG57*$J$14+MAX(0,BG57-BG56)*$H$14+IF($A57-$D$14&lt;=2,Premissas!$B$49,IF($A57-$D$14&lt;=5,Premissas!$B$50,IF($A57-$D$14&lt;=8,Premissas!$B$51,$G$14)))+IF($A57=1+$D$14,Premissas!$B$55,IF($A57=3+$D$14,Premissas!$B$56,IF($A57=6+$D$14,Premissas!$B$57,0))))</f>
        <v>-44045.4383691151</v>
      </c>
      <c r="BJ57" s="77">
        <f>BH57+BI57</f>
        <v>55980.734034501555</v>
      </c>
      <c r="BK57" s="77">
        <f>BK56+BJ57</f>
        <v>41346.9255940266</v>
      </c>
      <c r="BL57" s="78">
        <f>IF(BJ57&gt;0,$A57,9999)</f>
        <v>16.0</v>
      </c>
      <c r="BM57" s="78">
        <f>IF(BK57&gt;0,$A57,9999)</f>
        <v>16.0</v>
      </c>
      <c r="BN57" s="76">
        <f>IF($A57-$D$15&lt;Premissas!$B$41,0,$C$15*(Premissas!$B$39+(Premissas!$B$40-Premissas!$B$39)*$A57/36)/(1+EXP(-$K$15*($A57-$D$15-$I$15))))</f>
        <v>82.24305555555556</v>
      </c>
      <c r="BO57" s="77">
        <f>(BN57*$B$15+IF($A57&gt;=Premissas!$B$46+$D$15,$F$15,0))*(1-$E$15)*(1-Premissas!$B$60)</f>
        <v>36235.53472222222</v>
      </c>
      <c r="BP57" s="77">
        <f>-(BN57*$J$15+MAX(0,BN57-BN56)*$H$15+IF($A57-$D$15&lt;=2,Premissas!$B$49,IF($A57-$D$15&lt;=5,Premissas!$B$50,IF($A57-$D$15&lt;=8,Premissas!$B$51,$G$15)))+IF($A57=1+$D$15,Premissas!$B$55,IF($A57=3+$D$15,Premissas!$B$56,IF($A57=6+$D$15,Premissas!$B$57,0))))</f>
        <v>-44176.761661661665</v>
      </c>
      <c r="BQ57" s="77">
        <f>BO57+BP57</f>
        <v>-7941.226939439446</v>
      </c>
      <c r="BR57" s="77">
        <f>BR56+BQ57</f>
        <v>-322829.19179651403</v>
      </c>
      <c r="BS57" s="78">
        <f>IF(BQ57&gt;0,$A57,9999)</f>
        <v>9999.0</v>
      </c>
      <c r="BT57" s="78">
        <f>IF(BR57&gt;0,$A57,9999)</f>
        <v>9999.0</v>
      </c>
      <c r="BU57" s="76">
        <f>IF($A57-$D$16&lt;Premissas!$B$41,0,$C$16*(Premissas!$B$39+(Premissas!$B$40-Premissas!$B$39)*$A57/36)/(1+EXP(-$K$16*($A57-$D$16-$I$16))))</f>
        <v>164.48611111111111</v>
      </c>
      <c r="BV57" s="77">
        <f>(BU57*$B$16+IF($A57&gt;=Premissas!$B$46+$D$16,$F$16,0))*(1-$E$16)*(1-Premissas!$B$60)</f>
        <v>40606.19513888889</v>
      </c>
      <c r="BW57" s="77">
        <f>-(BU57*$J$16+MAX(0,BU57-BU56)*$H$16+IF($A57-$D$16&lt;=2,Premissas!$B$49,IF($A57-$D$16&lt;=5,Premissas!$B$50,IF($A57-$D$16&lt;=8,Premissas!$B$51,$G$16)))+IF($A57=1+$D$16,Premissas!$B$55,IF($A57=3+$D$16,Premissas!$B$56,IF($A57=6+$D$16,Premissas!$B$57,0))))</f>
        <v>-53353.52332332333</v>
      </c>
      <c r="BX57" s="77">
        <f>BV57+BW57</f>
        <v>-12747.328184434438</v>
      </c>
      <c r="BY57" s="77">
        <f>BY56+BX57</f>
        <v>-365210.1762720815</v>
      </c>
      <c r="BZ57" s="78">
        <f>IF(BX57&gt;0,$A57,9999)</f>
        <v>9999.0</v>
      </c>
      <c r="CA57" s="78">
        <f>IF(BY57&gt;0,$A57,9999)</f>
        <v>9999.0</v>
      </c>
      <c r="CB57" s="76">
        <f>IF($A57-$D$17&lt;Premissas!$B$41,0,$C$17*(Premissas!$B$39+(Premissas!$B$40-Premissas!$B$39)*$A57/36)/(1+EXP(-$K$17*($A57-$D$17-$I$17))))</f>
        <v>21.031451804401115</v>
      </c>
      <c r="CC57" s="77">
        <f>(CB57*$B$17+IF($A57&gt;=Premissas!$B$46+$D$17,$F$17,0))*(1-$E$17)*(1-Premissas!$B$60)</f>
        <v>10860.871531642573</v>
      </c>
      <c r="CD57" s="77">
        <f>-(CB57*$J$17+MAX(0,CB57-CB56)*$H$17+IF($A57-$D$17&lt;=2,Premissas!$B$49,IF($A57-$D$17&lt;=5,Premissas!$B$50,IF($A57-$D$17&lt;=8,Premissas!$B$51,$G$17)))+IF($A57=1+$D$17,Premissas!$B$55,IF($A57=3+$D$17,Premissas!$B$56,IF($A57=6+$D$17,Premissas!$B$57,0))))</f>
        <v>-38087.26614616508</v>
      </c>
      <c r="CE57" s="77">
        <f>CC57+CD57</f>
        <v>-27226.394614522505</v>
      </c>
      <c r="CF57" s="77">
        <f>CF56+CE57</f>
        <v>-276192.02903568663</v>
      </c>
      <c r="CG57" s="78">
        <f>IF(CE57&gt;0,$A57,9999)</f>
        <v>9999.0</v>
      </c>
      <c r="CH57" s="78">
        <f>IF(CF57&gt;0,$A57,9999)</f>
        <v>9999.0</v>
      </c>
    </row>
    <row r="58">
      <c r="A58" s="14" t="n">
        <v>17</v>
      </c>
      <c r="C58" s="76">
        <f>IF($A58-$D$6&lt;Premissas!$B$41,0,$C$6*(Premissas!$B$39+(Premissas!$B$40-Premissas!$B$39)*$A58/36)/(1+EXP(-$K$6*($A58-$D$6-$I$6))))</f>
        <v>192.34933020267167</v>
      </c>
      <c r="D58" s="77">
        <f>(C58*$B$6+IF($A58&gt;=Premissas!$B$46+$D$6,$F$6,0))*(1-$E$6)*(1-Premissas!$B$60)</f>
        <v>71359.43633465226</v>
      </c>
      <c r="E58" s="77">
        <f>-(C58*$J$6+MAX(0,C58-C57)*$H$6+IF($A58-$D$6&lt;=2,Premissas!$B$49,IF($A58-$D$6&lt;=5,Premissas!$B$50,IF($A58-$D$6&lt;=8,Premissas!$B$51,$G$6)))+IF($A58=1+$D$6,Premissas!$B$55,IF($A58=3+$D$6,Premissas!$B$56,IF($A58=6+$D$6,Premissas!$B$57,0))))</f>
        <v>-54801.007495744445</v>
      </c>
      <c r="F58" s="77">
        <f>D58+E58</f>
        <v>16558.428838907814</v>
      </c>
      <c r="G58" s="77">
        <f>G57+F58</f>
        <v>-239099.9547541202</v>
      </c>
      <c r="H58" s="78">
        <f>IF(F58&gt;0,$A58,9999)</f>
        <v>17.0</v>
      </c>
      <c r="I58" s="78">
        <f>IF(G58&gt;0,$A58,9999)</f>
        <v>9999.0</v>
      </c>
      <c r="J58" s="76">
        <f>IF($A58-$D$7&lt;Premissas!$B$41,0,$C$7*(Premissas!$B$39+(Premissas!$B$40-Premissas!$B$39)*$A58/36)/(1+EXP(-$K$7*($A58-$D$7-$I$7))))</f>
        <v>438.9954932075489</v>
      </c>
      <c r="K58" s="77">
        <f>(J58*$B$7+IF($A58&gt;=Premissas!$B$46+$D$7,$F$7,0))*(1-$E$7)*(1-Premissas!$B$60)</f>
        <v>105944.73935179284</v>
      </c>
      <c r="L58" s="77">
        <f>-(J58*$J$7+MAX(0,J58-J57)*$H$7+IF($A58-$D$7&lt;=2,Premissas!$B$49,IF($A58-$D$7&lt;=5,Premissas!$B$50,IF($A58-$D$7&lt;=8,Premissas!$B$51,$G$7)))+IF($A58=1+$D$7,Premissas!$B$55,IF($A58=3+$D$7,Premissas!$B$56,IF($A58=6+$D$7,Premissas!$B$57,0))))</f>
        <v>-54757.446600598036</v>
      </c>
      <c r="M58" s="77">
        <f>K58+L58</f>
        <v>51187.29275119481</v>
      </c>
      <c r="N58" s="77">
        <f>N57+M58</f>
        <v>12534.218345221409</v>
      </c>
      <c r="O58" s="78">
        <f>IF(M58&gt;0,$A58,9999)</f>
        <v>17.0</v>
      </c>
      <c r="P58" s="78">
        <f>IF(N58&gt;0,$A58,9999)</f>
        <v>17.0</v>
      </c>
      <c r="Q58" s="76">
        <f>IF($A58-$D$8&lt;Premissas!$B$41,0,$C$8*(Premissas!$B$39+(Premissas!$B$40-Premissas!$B$39)*$A58/36)/(1+EXP(-$K$8*($A58-$D$8-$I$8))))</f>
        <v>438.9954932075489</v>
      </c>
      <c r="R58" s="77">
        <f>(Q58*$B$8+IF($A58&gt;=Premissas!$B$46+$D$8,$F$8,0))*(1-$E$8)*(1-Premissas!$B$60)</f>
        <v>141259.65246905712</v>
      </c>
      <c r="S58" s="77">
        <f>-(Q58*$J$8+MAX(0,Q58-Q57)*$H$8+IF($A58-$D$8&lt;=2,Premissas!$B$49,IF($A58-$D$8&lt;=5,Premissas!$B$50,IF($A58-$D$8&lt;=8,Premissas!$B$51,$G$8)))+IF($A58=1+$D$8,Premissas!$B$55,IF($A58=3+$D$8,Premissas!$B$56,IF($A58=6+$D$8,Premissas!$B$57,0))))</f>
        <v>-54757.446600598036</v>
      </c>
      <c r="T58" s="77">
        <f>R58+S58</f>
        <v>86502.20586845909</v>
      </c>
      <c r="U58" s="77">
        <f>U57+T58</f>
        <v>228618.87391267554</v>
      </c>
      <c r="V58" s="78">
        <f>IF(T58&gt;0,$A58,9999)</f>
        <v>17.0</v>
      </c>
      <c r="W58" s="78">
        <f>IF(U58&gt;0,$A58,9999)</f>
        <v>17.0</v>
      </c>
      <c r="X58" s="76">
        <f>IF($A58-$D$9&lt;Premissas!$B$41,0,$C$9*(Premissas!$B$39+(Premissas!$B$40-Premissas!$B$39)*$A58/36)/(1+EXP(-$K$9*($A58-$D$9-$I$9))))</f>
        <v>438.9954932075489</v>
      </c>
      <c r="Y58" s="77">
        <f>(X58*$B$9+IF($A58&gt;=Premissas!$B$46+$D$9,$F$9,0))*(1-$E$9)*(1-Premissas!$B$60)</f>
        <v>113007.7219752457</v>
      </c>
      <c r="Z58" s="77">
        <f>-(X58*$J$9+MAX(0,X58-X57)*$H$9+IF($A58-$D$9&lt;=2,Premissas!$B$49,IF($A58-$D$9&lt;=5,Premissas!$B$50,IF($A58-$D$9&lt;=8,Premissas!$B$51,$G$9)))+IF($A58=1+$D$9,Premissas!$B$55,IF($A58=3+$D$9,Premissas!$B$56,IF($A58=6+$D$9,Premissas!$B$57,0))))</f>
        <v>-54757.446600598036</v>
      </c>
      <c r="AA58" s="77">
        <f>Y58+Z58</f>
        <v>58250.27537464767</v>
      </c>
      <c r="AB58" s="77">
        <f>AB57+AA58</f>
        <v>55751.14945871229</v>
      </c>
      <c r="AC58" s="78">
        <f>IF(AA58&gt;0,$A58,9999)</f>
        <v>17.0</v>
      </c>
      <c r="AD58" s="78">
        <f>IF(AB58&gt;0,$A58,9999)</f>
        <v>17.0</v>
      </c>
      <c r="AE58" s="76">
        <f>IF($A58-$D$10&lt;Premissas!$B$41,0,$C$10*(Premissas!$B$39+(Premissas!$B$40-Premissas!$B$39)*$A58/36)/(1+EXP(-$K$10*($A58-$D$10-$I$10))))</f>
        <v>438.9954932075489</v>
      </c>
      <c r="AF58" s="77">
        <f>(AE58*$B$10+IF($A58&gt;=Premissas!$B$46+$D$10,$F$10,0))*(1-$E$10)*(1-Premissas!$B$60)</f>
        <v>98881.75672833998</v>
      </c>
      <c r="AG58" s="77">
        <f>-(AE58*$J$10+MAX(0,AE58-AE57)*$H$10+IF($A58-$D$10&lt;=2,Premissas!$B$49,IF($A58-$D$10&lt;=5,Premissas!$B$50,IF($A58-$D$10&lt;=8,Premissas!$B$51,$G$10)))+IF($A58=1+$D$10,Premissas!$B$55,IF($A58=3+$D$10,Premissas!$B$56,IF($A58=6+$D$10,Premissas!$B$57,0))))</f>
        <v>-54757.446600598036</v>
      </c>
      <c r="AH58" s="77">
        <f>AF58+AG58</f>
        <v>44124.31012774195</v>
      </c>
      <c r="AI58" s="77">
        <f>AI57+AH58</f>
        <v>-30682.71276826947</v>
      </c>
      <c r="AJ58" s="78">
        <f>IF(AH58&gt;0,$A58,9999)</f>
        <v>17.0</v>
      </c>
      <c r="AK58" s="78">
        <f>IF(AI58&gt;0,$A58,9999)</f>
        <v>9999.0</v>
      </c>
      <c r="AL58" s="76">
        <f>IF($A58-$D$11&lt;Premissas!$B$41,0,$C$11*(Premissas!$B$39+(Premissas!$B$40-Premissas!$B$39)*$A58/36)/(1+EXP(-$K$11*($A58-$D$11-$I$11))))</f>
        <v>438.9954932075489</v>
      </c>
      <c r="AM58" s="77">
        <f>(AL58*$B$11+IF($A58&gt;=Premissas!$B$46+$D$11,$F$11,0))*(1-$E$11)*(1-Premissas!$B$60)</f>
        <v>84755.79148143427</v>
      </c>
      <c r="AN58" s="77">
        <f>-(AL58*$J$11+MAX(0,AL58-AL57)*$H$11+IF($A58-$D$11&lt;=2,Premissas!$B$49,IF($A58-$D$11&lt;=5,Premissas!$B$50,IF($A58-$D$11&lt;=8,Premissas!$B$51,$G$11)))+IF($A58=1+$D$11,Premissas!$B$55,IF($A58=3+$D$11,Premissas!$B$56,IF($A58=6+$D$11,Premissas!$B$57,0))))</f>
        <v>-54757.446600598036</v>
      </c>
      <c r="AO58" s="77">
        <f>AM58+AN58</f>
        <v>29998.34488083623</v>
      </c>
      <c r="AP58" s="77">
        <f>AP57+AO58</f>
        <v>-117116.57499525111</v>
      </c>
      <c r="AQ58" s="78">
        <f>IF(AO58&gt;0,$A58,9999)</f>
        <v>17.0</v>
      </c>
      <c r="AR58" s="78">
        <f>IF(AP58&gt;0,$A58,9999)</f>
        <v>9999.0</v>
      </c>
      <c r="AS58" s="76">
        <f>IF($A58-$D$12&lt;Premissas!$B$41,0,$C$12*(Premissas!$B$39+(Premissas!$B$40-Premissas!$B$39)*$A58/36)/(1+EXP(-$K$12*($A58-$D$12-$I$12))))</f>
        <v>438.9954932075489</v>
      </c>
      <c r="AT58" s="77">
        <f>(AS58*$B$12+IF($A58&gt;=Premissas!$B$46+$D$12,$F$12,0))*(1-$E$12)*(1-Premissas!$B$60)</f>
        <v>89482.40835650975</v>
      </c>
      <c r="AU58" s="77">
        <f>-(AS58*$J$12+MAX(0,AS58-AS57)*$H$12+IF($A58-$D$12&lt;=2,Premissas!$B$49,IF($A58-$D$12&lt;=5,Premissas!$B$50,IF($A58-$D$12&lt;=8,Premissas!$B$51,$G$12)))+IF($A58=1+$D$12,Premissas!$B$55,IF($A58=3+$D$12,Premissas!$B$56,IF($A58=6+$D$12,Premissas!$B$57,0))))</f>
        <v>-54757.446600598036</v>
      </c>
      <c r="AV58" s="77">
        <f>AT58+AU58</f>
        <v>34724.96175591172</v>
      </c>
      <c r="AW58" s="77">
        <f>AW57+AV58</f>
        <v>-84581.82959831745</v>
      </c>
      <c r="AX58" s="78">
        <f>IF(AV58&gt;0,$A58,9999)</f>
        <v>17.0</v>
      </c>
      <c r="AY58" s="78">
        <f>IF(AW58&gt;0,$A58,9999)</f>
        <v>9999.0</v>
      </c>
      <c r="AZ58" s="76">
        <f>IF($A58-$D$13&lt;Premissas!$B$41,0,$C$13*(Premissas!$B$39+(Premissas!$B$40-Premissas!$B$39)*$A58/36)/(1+EXP(-$K$13*($A58-$D$13-$I$13))))</f>
        <v>188.94326029339913</v>
      </c>
      <c r="BA58" s="77">
        <f>(AZ58*$B$13+IF($A58&gt;=Premissas!$B$46+$D$13,$F$13,0))*(1-$E$13)*(1-Premissas!$B$60)</f>
        <v>49870.526120794755</v>
      </c>
      <c r="BB58" s="77">
        <f>-(AZ58*$J$13+MAX(0,AZ58-AZ57)*$H$13+IF($A58-$D$13&lt;=2,Premissas!$B$49,IF($A58-$D$13&lt;=5,Premissas!$B$50,IF($A58-$D$13&lt;=8,Premissas!$B$51,$G$13)))+IF($A58=1+$D$13,Premissas!$B$55,IF($A58=3+$D$13,Premissas!$B$56,IF($A58=6+$D$13,Premissas!$B$57,0))))</f>
        <v>-45433.925698292995</v>
      </c>
      <c r="BC58" s="77">
        <f>BA58+BB58</f>
        <v>4436.6004225017605</v>
      </c>
      <c r="BD58" s="77">
        <f>BD57+BC58</f>
        <v>-213989.20181636608</v>
      </c>
      <c r="BE58" s="78">
        <f>IF(BC58&gt;0,$A58,9999)</f>
        <v>17.0</v>
      </c>
      <c r="BF58" s="78">
        <f>IF(BD58&gt;0,$A58,9999)</f>
        <v>9999.0</v>
      </c>
      <c r="BG58" s="76">
        <f>IF($A58-$D$14&lt;Premissas!$B$41,0,$C$14*(Premissas!$B$39+(Premissas!$B$40-Premissas!$B$39)*$A58/36)/(1+EXP(-$K$14*($A58-$D$14-$I$14))))</f>
        <v>438.9954932075489</v>
      </c>
      <c r="BH58" s="77">
        <f>(BG58*$B$14+IF($A58&gt;=Premissas!$B$46+$D$14,$F$14,0))*(1-$E$14)*(1-Premissas!$B$60)</f>
        <v>105944.73935179284</v>
      </c>
      <c r="BI58" s="77">
        <f>-(BG58*$J$14+MAX(0,BG58-BG57)*$H$14+IF($A58-$D$14&lt;=2,Premissas!$B$49,IF($A58-$D$14&lt;=5,Premissas!$B$50,IF($A58-$D$14&lt;=8,Premissas!$B$51,$G$14)))+IF($A58=1+$D$14,Premissas!$B$55,IF($A58=3+$D$14,Premissas!$B$56,IF($A58=6+$D$14,Premissas!$B$57,0))))</f>
        <v>-44757.446600598036</v>
      </c>
      <c r="BJ58" s="77">
        <f>BH58+BI58</f>
        <v>61187.29275119481</v>
      </c>
      <c r="BK58" s="77">
        <f>BK57+BJ58</f>
        <v>102534.21834522141</v>
      </c>
      <c r="BL58" s="78">
        <f>IF(BJ58&gt;0,$A58,9999)</f>
        <v>17.0</v>
      </c>
      <c r="BM58" s="78">
        <f>IF(BK58&gt;0,$A58,9999)</f>
        <v>17.0</v>
      </c>
      <c r="BN58" s="76">
        <f>IF($A58-$D$15&lt;Premissas!$B$41,0,$C$15*(Premissas!$B$39+(Premissas!$B$40-Premissas!$B$39)*$A58/36)/(1+EXP(-$K$15*($A58-$D$15-$I$15))))</f>
        <v>96.17466510133583</v>
      </c>
      <c r="BO58" s="77">
        <f>(BN58*$B$15+IF($A58&gt;=Premissas!$B$46+$D$15,$F$15,0))*(1-$E$15)*(1-Premissas!$B$60)</f>
        <v>40679.71816732613</v>
      </c>
      <c r="BP58" s="77">
        <f>-(BN58*$J$15+MAX(0,BN58-BN57)*$H$15+IF($A58-$D$15&lt;=2,Premissas!$B$49,IF($A58-$D$15&lt;=5,Premissas!$B$50,IF($A58-$D$15&lt;=8,Premissas!$B$51,$G$15)))+IF($A58=1+$D$15,Premissas!$B$55,IF($A58=3+$D$15,Premissas!$B$56,IF($A58=6+$D$15,Premissas!$B$57,0))))</f>
        <v>-44900.50374787222</v>
      </c>
      <c r="BQ58" s="77">
        <f>BO58+BP58</f>
        <v>-4220.785580546093</v>
      </c>
      <c r="BR58" s="77">
        <f>BR57+BQ58</f>
        <v>-327049.9773770601</v>
      </c>
      <c r="BS58" s="78">
        <f>IF(BQ58&gt;0,$A58,9999)</f>
        <v>9999.0</v>
      </c>
      <c r="BT58" s="78">
        <f>IF(BR58&gt;0,$A58,9999)</f>
        <v>9999.0</v>
      </c>
      <c r="BU58" s="76">
        <f>IF($A58-$D$16&lt;Premissas!$B$41,0,$C$16*(Premissas!$B$39+(Premissas!$B$40-Premissas!$B$39)*$A58/36)/(1+EXP(-$K$16*($A58-$D$16-$I$16))))</f>
        <v>192.34933020267167</v>
      </c>
      <c r="BV58" s="77">
        <f>(BU58*$B$16+IF($A58&gt;=Premissas!$B$46+$D$16,$F$16,0))*(1-$E$16)*(1-Premissas!$B$60)</f>
        <v>46383.63361752397</v>
      </c>
      <c r="BW58" s="77">
        <f>-(BU58*$J$16+MAX(0,BU58-BU57)*$H$16+IF($A58-$D$16&lt;=2,Premissas!$B$49,IF($A58-$D$16&lt;=5,Premissas!$B$50,IF($A58-$D$16&lt;=8,Premissas!$B$51,$G$16)))+IF($A58=1+$D$16,Premissas!$B$55,IF($A58=3+$D$16,Premissas!$B$56,IF($A58=6+$D$16,Premissas!$B$57,0))))</f>
        <v>-54801.007495744445</v>
      </c>
      <c r="BX58" s="77">
        <f>BV58+BW58</f>
        <v>-8417.373878220475</v>
      </c>
      <c r="BY58" s="77">
        <f>BY57+BX58</f>
        <v>-373627.550150302</v>
      </c>
      <c r="BZ58" s="78">
        <f>IF(BX58&gt;0,$A58,9999)</f>
        <v>9999.0</v>
      </c>
      <c r="CA58" s="78">
        <f>IF(BY58&gt;0,$A58,9999)</f>
        <v>9999.0</v>
      </c>
      <c r="CB58" s="76">
        <f>IF($A58-$D$17&lt;Premissas!$B$41,0,$C$17*(Premissas!$B$39+(Premissas!$B$40-Premissas!$B$39)*$A58/36)/(1+EXP(-$K$17*($A58-$D$17-$I$17))))</f>
        <v>27.88693118405515</v>
      </c>
      <c r="CC58" s="77">
        <f>(CB58*$B$17+IF($A58&gt;=Premissas!$B$46+$D$17,$F$17,0))*(1-$E$17)*(1-Premissas!$B$60)</f>
        <v>12282.355181013838</v>
      </c>
      <c r="CD58" s="77">
        <f>-(CB58*$J$17+MAX(0,CB58-CB57)*$H$17+IF($A58-$D$17&lt;=2,Premissas!$B$49,IF($A58-$D$17&lt;=5,Premissas!$B$50,IF($A58-$D$17&lt;=8,Premissas!$B$51,$G$17)))+IF($A58=1+$D$17,Premissas!$B$55,IF($A58=3+$D$17,Premissas!$B$56,IF($A58=6+$D$17,Premissas!$B$57,0))))</f>
        <v>-38997.10365514409</v>
      </c>
      <c r="CE58" s="77">
        <f>CC58+CD58</f>
        <v>-26714.748474130254</v>
      </c>
      <c r="CF58" s="77">
        <f>CF57+CE58</f>
        <v>-302906.77750981686</v>
      </c>
      <c r="CG58" s="78">
        <f>IF(CE58&gt;0,$A58,9999)</f>
        <v>9999.0</v>
      </c>
      <c r="CH58" s="78">
        <f>IF(CF58&gt;0,$A58,9999)</f>
        <v>9999.0</v>
      </c>
    </row>
    <row r="59">
      <c r="A59" s="14" t="n">
        <v>18</v>
      </c>
      <c r="C59" s="76">
        <f>IF($A59-$D$6&lt;Premissas!$B$41,0,$C$6*(Premissas!$B$39+(Premissas!$B$40-Premissas!$B$39)*$A59/36)/(1+EXP(-$K$6*($A59-$D$6-$I$6))))</f>
        <v>219.39151581266242</v>
      </c>
      <c r="D59" s="77">
        <f>(C59*$B$6+IF($A59&gt;=Premissas!$B$46+$D$6,$F$6,0))*(1-$E$6)*(1-Premissas!$B$60)</f>
        <v>79985.89354423931</v>
      </c>
      <c r="E59" s="77">
        <f>-(C59*$J$6+MAX(0,C59-C58)*$H$6+IF($A59-$D$6&lt;=2,Premissas!$B$49,IF($A59-$D$6&lt;=5,Premissas!$B$50,IF($A59-$D$6&lt;=8,Premissas!$B$51,$G$6)))+IF($A59=1+$D$6,Premissas!$B$55,IF($A59=3+$D$6,Premissas!$B$56,IF($A59=6+$D$6,Premissas!$B$57,0))))</f>
        <v>-55689.49245556611</v>
      </c>
      <c r="F59" s="77">
        <f>D59+E59</f>
        <v>24296.4010886732</v>
      </c>
      <c r="G59" s="77">
        <f>G58+F59</f>
        <v>-214803.553665447</v>
      </c>
      <c r="H59" s="78">
        <f>IF(F59&gt;0,$A59,9999)</f>
        <v>18.0</v>
      </c>
      <c r="I59" s="78">
        <f>IF(G59&gt;0,$A59,9999)</f>
        <v>9999.0</v>
      </c>
      <c r="J59" s="76">
        <f>IF($A59-$D$7&lt;Premissas!$B$41,0,$C$7*(Premissas!$B$39+(Premissas!$B$40-Premissas!$B$39)*$A59/36)/(1+EXP(-$K$7*($A59-$D$7-$I$7))))</f>
        <v>458.8853732049874</v>
      </c>
      <c r="K59" s="77">
        <f>(J59*$B$7+IF($A59&gt;=Premissas!$B$46+$D$7,$F$7,0))*(1-$E$7)*(1-Premissas!$B$60)</f>
        <v>110405.04494121842</v>
      </c>
      <c r="L59" s="77">
        <f>-(J59*$J$7+MAX(0,J59-J58)*$H$7+IF($A59-$D$7&lt;=2,Premissas!$B$49,IF($A59-$D$7&lt;=5,Premissas!$B$50,IF($A59-$D$7&lt;=8,Premissas!$B$51,$G$7)))+IF($A59=1+$D$7,Premissas!$B$55,IF($A59=3+$D$7,Premissas!$B$56,IF($A59=6+$D$7,Premissas!$B$57,0))))</f>
        <v>-55267.67967448139</v>
      </c>
      <c r="M59" s="77">
        <f>K59+L59</f>
        <v>55137.36526673703</v>
      </c>
      <c r="N59" s="77">
        <f>N58+M59</f>
        <v>67671.58361195844</v>
      </c>
      <c r="O59" s="78">
        <f>IF(M59&gt;0,$A59,9999)</f>
        <v>18.0</v>
      </c>
      <c r="P59" s="78">
        <f>IF(N59&gt;0,$A59,9999)</f>
        <v>18.0</v>
      </c>
      <c r="Q59" s="76">
        <f>IF($A59-$D$8&lt;Premissas!$B$41,0,$C$8*(Premissas!$B$39+(Premissas!$B$40-Premissas!$B$39)*$A59/36)/(1+EXP(-$K$8*($A59-$D$8-$I$8))))</f>
        <v>458.8853732049874</v>
      </c>
      <c r="R59" s="77">
        <f>(Q59*$B$8+IF($A59&gt;=Premissas!$B$46+$D$8,$F$8,0))*(1-$E$8)*(1-Premissas!$B$60)</f>
        <v>147206.72658829123</v>
      </c>
      <c r="S59" s="77">
        <f>-(Q59*$J$8+MAX(0,Q59-Q58)*$H$8+IF($A59-$D$8&lt;=2,Premissas!$B$49,IF($A59-$D$8&lt;=5,Premissas!$B$50,IF($A59-$D$8&lt;=8,Premissas!$B$51,$G$8)))+IF($A59=1+$D$8,Premissas!$B$55,IF($A59=3+$D$8,Premissas!$B$56,IF($A59=6+$D$8,Premissas!$B$57,0))))</f>
        <v>-55267.67967448139</v>
      </c>
      <c r="T59" s="77">
        <f>R59+S59</f>
        <v>91939.04691380984</v>
      </c>
      <c r="U59" s="77">
        <f>U58+T59</f>
        <v>320557.9208264854</v>
      </c>
      <c r="V59" s="78">
        <f>IF(T59&gt;0,$A59,9999)</f>
        <v>18.0</v>
      </c>
      <c r="W59" s="78">
        <f>IF(U59&gt;0,$A59,9999)</f>
        <v>18.0</v>
      </c>
      <c r="X59" s="76">
        <f>IF($A59-$D$9&lt;Premissas!$B$41,0,$C$9*(Premissas!$B$39+(Premissas!$B$40-Premissas!$B$39)*$A59/36)/(1+EXP(-$K$9*($A59-$D$9-$I$9))))</f>
        <v>458.8853732049874</v>
      </c>
      <c r="Y59" s="77">
        <f>(X59*$B$9+IF($A59&gt;=Premissas!$B$46+$D$9,$F$9,0))*(1-$E$9)*(1-Premissas!$B$60)</f>
        <v>117765.38127063299</v>
      </c>
      <c r="Z59" s="77">
        <f>-(X59*$J$9+MAX(0,X59-X58)*$H$9+IF($A59-$D$9&lt;=2,Premissas!$B$49,IF($A59-$D$9&lt;=5,Premissas!$B$50,IF($A59-$D$9&lt;=8,Premissas!$B$51,$G$9)))+IF($A59=1+$D$9,Premissas!$B$55,IF($A59=3+$D$9,Premissas!$B$56,IF($A59=6+$D$9,Premissas!$B$57,0))))</f>
        <v>-55267.67967448139</v>
      </c>
      <c r="AA59" s="77">
        <f>Y59+Z59</f>
        <v>62497.7015961516</v>
      </c>
      <c r="AB59" s="77">
        <f>AB58+AA59</f>
        <v>118248.85105486389</v>
      </c>
      <c r="AC59" s="78">
        <f>IF(AA59&gt;0,$A59,9999)</f>
        <v>18.0</v>
      </c>
      <c r="AD59" s="78">
        <f>IF(AB59&gt;0,$A59,9999)</f>
        <v>18.0</v>
      </c>
      <c r="AE59" s="76">
        <f>IF($A59-$D$10&lt;Premissas!$B$41,0,$C$10*(Premissas!$B$39+(Premissas!$B$40-Premissas!$B$39)*$A59/36)/(1+EXP(-$K$10*($A59-$D$10-$I$10))))</f>
        <v>458.8853732049874</v>
      </c>
      <c r="AF59" s="77">
        <f>(AE59*$B$10+IF($A59&gt;=Premissas!$B$46+$D$10,$F$10,0))*(1-$E$10)*(1-Premissas!$B$60)</f>
        <v>103044.70861180386</v>
      </c>
      <c r="AG59" s="77">
        <f>-(AE59*$J$10+MAX(0,AE59-AE58)*$H$10+IF($A59-$D$10&lt;=2,Premissas!$B$49,IF($A59-$D$10&lt;=5,Premissas!$B$50,IF($A59-$D$10&lt;=8,Premissas!$B$51,$G$10)))+IF($A59=1+$D$10,Premissas!$B$55,IF($A59=3+$D$10,Premissas!$B$56,IF($A59=6+$D$10,Premissas!$B$57,0))))</f>
        <v>-55267.67967448139</v>
      </c>
      <c r="AH59" s="77">
        <f>AF59+AG59</f>
        <v>47777.028937322466</v>
      </c>
      <c r="AI59" s="77">
        <f>AI58+AH59</f>
        <v>17094.316169052996</v>
      </c>
      <c r="AJ59" s="78">
        <f>IF(AH59&gt;0,$A59,9999)</f>
        <v>18.0</v>
      </c>
      <c r="AK59" s="78">
        <f>IF(AI59&gt;0,$A59,9999)</f>
        <v>18.0</v>
      </c>
      <c r="AL59" s="76">
        <f>IF($A59-$D$11&lt;Premissas!$B$41,0,$C$11*(Premissas!$B$39+(Premissas!$B$40-Premissas!$B$39)*$A59/36)/(1+EXP(-$K$11*($A59-$D$11-$I$11))))</f>
        <v>458.8853732049874</v>
      </c>
      <c r="AM59" s="77">
        <f>(AL59*$B$11+IF($A59&gt;=Premissas!$B$46+$D$11,$F$11,0))*(1-$E$11)*(1-Premissas!$B$60)</f>
        <v>88324.03595297474</v>
      </c>
      <c r="AN59" s="77">
        <f>-(AL59*$J$11+MAX(0,AL59-AL58)*$H$11+IF($A59-$D$11&lt;=2,Premissas!$B$49,IF($A59-$D$11&lt;=5,Premissas!$B$50,IF($A59-$D$11&lt;=8,Premissas!$B$51,$G$11)))+IF($A59=1+$D$11,Premissas!$B$55,IF($A59=3+$D$11,Premissas!$B$56,IF($A59=6+$D$11,Premissas!$B$57,0))))</f>
        <v>-55267.67967448139</v>
      </c>
      <c r="AO59" s="77">
        <f>AM59+AN59</f>
        <v>33056.356278493346</v>
      </c>
      <c r="AP59" s="77">
        <f>AP58+AO59</f>
        <v>-84060.21871675776</v>
      </c>
      <c r="AQ59" s="78">
        <f>IF(AO59&gt;0,$A59,9999)</f>
        <v>18.0</v>
      </c>
      <c r="AR59" s="78">
        <f>IF(AP59&gt;0,$A59,9999)</f>
        <v>9999.0</v>
      </c>
      <c r="AS59" s="76">
        <f>IF($A59-$D$12&lt;Premissas!$B$41,0,$C$12*(Premissas!$B$39+(Premissas!$B$40-Premissas!$B$39)*$A59/36)/(1+EXP(-$K$12*($A59-$D$12-$I$12))))</f>
        <v>458.8853732049874</v>
      </c>
      <c r="AT59" s="77">
        <f>(AS59*$B$12+IF($A59&gt;=Premissas!$B$46+$D$12,$F$12,0))*(1-$E$12)*(1-Premissas!$B$60)</f>
        <v>93196.84344603139</v>
      </c>
      <c r="AU59" s="77">
        <f>-(AS59*$J$12+MAX(0,AS59-AS58)*$H$12+IF($A59-$D$12&lt;=2,Premissas!$B$49,IF($A59-$D$12&lt;=5,Premissas!$B$50,IF($A59-$D$12&lt;=8,Premissas!$B$51,$G$12)))+IF($A59=1+$D$12,Premissas!$B$55,IF($A59=3+$D$12,Premissas!$B$56,IF($A59=6+$D$12,Premissas!$B$57,0))))</f>
        <v>-55267.67967448139</v>
      </c>
      <c r="AV59" s="77">
        <f>AT59+AU59</f>
        <v>37929.16377155</v>
      </c>
      <c r="AW59" s="77">
        <f>AW58+AV59</f>
        <v>-46652.66582676745</v>
      </c>
      <c r="AX59" s="78">
        <f>IF(AV59&gt;0,$A59,9999)</f>
        <v>18.0</v>
      </c>
      <c r="AY59" s="78">
        <f>IF(AW59&gt;0,$A59,9999)</f>
        <v>9999.0</v>
      </c>
      <c r="AZ59" s="76">
        <f>IF($A59-$D$13&lt;Premissas!$B$41,0,$C$13*(Premissas!$B$39+(Premissas!$B$40-Premissas!$B$39)*$A59/36)/(1+EXP(-$K$13*($A59-$D$13-$I$13))))</f>
        <v>244.86249999999998</v>
      </c>
      <c r="BA59" s="77">
        <f>(AZ59*$B$13+IF($A59&gt;=Premissas!$B$46+$D$13,$F$13,0))*(1-$E$13)*(1-Premissas!$B$60)</f>
        <v>62410.415624999994</v>
      </c>
      <c r="BB59" s="77">
        <f>-(AZ59*$J$13+MAX(0,AZ59-AZ58)*$H$13+IF($A59-$D$13&lt;=2,Premissas!$B$49,IF($A59-$D$13&lt;=5,Premissas!$B$50,IF($A59-$D$13&lt;=8,Premissas!$B$51,$G$13)))+IF($A59=1+$D$13,Premissas!$B$55,IF($A59=3+$D$13,Premissas!$B$56,IF($A59=6+$D$13,Premissas!$B$57,0))))</f>
        <v>-48080.186985330045</v>
      </c>
      <c r="BC59" s="77">
        <f>BA59+BB59</f>
        <v>14330.22863966995</v>
      </c>
      <c r="BD59" s="77">
        <f>BD58+BC59</f>
        <v>-199658.97317669613</v>
      </c>
      <c r="BE59" s="78">
        <f>IF(BC59&gt;0,$A59,9999)</f>
        <v>18.0</v>
      </c>
      <c r="BF59" s="78">
        <f>IF(BD59&gt;0,$A59,9999)</f>
        <v>9999.0</v>
      </c>
      <c r="BG59" s="76">
        <f>IF($A59-$D$14&lt;Premissas!$B$41,0,$C$14*(Premissas!$B$39+(Premissas!$B$40-Premissas!$B$39)*$A59/36)/(1+EXP(-$K$14*($A59-$D$14-$I$14))))</f>
        <v>458.8853732049874</v>
      </c>
      <c r="BH59" s="77">
        <f>(BG59*$B$14+IF($A59&gt;=Premissas!$B$46+$D$14,$F$14,0))*(1-$E$14)*(1-Premissas!$B$60)</f>
        <v>110405.04494121842</v>
      </c>
      <c r="BI59" s="77">
        <f>-(BG59*$J$14+MAX(0,BG59-BG58)*$H$14+IF($A59-$D$14&lt;=2,Premissas!$B$49,IF($A59-$D$14&lt;=5,Premissas!$B$50,IF($A59-$D$14&lt;=8,Premissas!$B$51,$G$14)))+IF($A59=1+$D$14,Premissas!$B$55,IF($A59=3+$D$14,Premissas!$B$56,IF($A59=6+$D$14,Premissas!$B$57,0))))</f>
        <v>-45267.67967448139</v>
      </c>
      <c r="BJ59" s="77">
        <f>BH59+BI59</f>
        <v>65137.36526673703</v>
      </c>
      <c r="BK59" s="77">
        <f>BK58+BJ59</f>
        <v>167671.58361195843</v>
      </c>
      <c r="BL59" s="78">
        <f>IF(BJ59&gt;0,$A59,9999)</f>
        <v>18.0</v>
      </c>
      <c r="BM59" s="78">
        <f>IF(BK59&gt;0,$A59,9999)</f>
        <v>18.0</v>
      </c>
      <c r="BN59" s="76">
        <f>IF($A59-$D$15&lt;Premissas!$B$41,0,$C$15*(Premissas!$B$39+(Premissas!$B$40-Premissas!$B$39)*$A59/36)/(1+EXP(-$K$15*($A59-$D$15-$I$15))))</f>
        <v>109.69575790633121</v>
      </c>
      <c r="BO59" s="77">
        <f>(BN59*$B$15+IF($A59&gt;=Premissas!$B$46+$D$15,$F$15,0))*(1-$E$15)*(1-Premissas!$B$60)</f>
        <v>44992.946772119656</v>
      </c>
      <c r="BP59" s="77">
        <f>-(BN59*$J$15+MAX(0,BN59-BN58)*$H$15+IF($A59-$D$15&lt;=2,Premissas!$B$49,IF($A59-$D$15&lt;=5,Premissas!$B$50,IF($A59-$D$15&lt;=8,Premissas!$B$51,$G$15)))+IF($A59=1+$D$15,Premissas!$B$55,IF($A59=3+$D$15,Premissas!$B$56,IF($A59=6+$D$15,Premissas!$B$57,0))))</f>
        <v>-45344.74622778306</v>
      </c>
      <c r="BQ59" s="77">
        <f>BO59+BP59</f>
        <v>-351.7994556634003</v>
      </c>
      <c r="BR59" s="77">
        <f>BR58+BQ59</f>
        <v>-327401.7768327235</v>
      </c>
      <c r="BS59" s="78">
        <f>IF(BQ59&gt;0,$A59,9999)</f>
        <v>9999.0</v>
      </c>
      <c r="BT59" s="78">
        <f>IF(BR59&gt;0,$A59,9999)</f>
        <v>9999.0</v>
      </c>
      <c r="BU59" s="76">
        <f>IF($A59-$D$16&lt;Premissas!$B$41,0,$C$16*(Premissas!$B$39+(Premissas!$B$40-Premissas!$B$39)*$A59/36)/(1+EXP(-$K$16*($A59-$D$16-$I$16))))</f>
        <v>219.39151581266242</v>
      </c>
      <c r="BV59" s="77">
        <f>(BU59*$B$16+IF($A59&gt;=Premissas!$B$46+$D$16,$F$16,0))*(1-$E$16)*(1-Premissas!$B$60)</f>
        <v>51990.830803755554</v>
      </c>
      <c r="BW59" s="77">
        <f>-(BU59*$J$16+MAX(0,BU59-BU58)*$H$16+IF($A59-$D$16&lt;=2,Premissas!$B$49,IF($A59-$D$16&lt;=5,Premissas!$B$50,IF($A59-$D$16&lt;=8,Premissas!$B$51,$G$16)))+IF($A59=1+$D$16,Premissas!$B$55,IF($A59=3+$D$16,Premissas!$B$56,IF($A59=6+$D$16,Premissas!$B$57,0))))</f>
        <v>-55689.49245556611</v>
      </c>
      <c r="BX59" s="77">
        <f>BV59+BW59</f>
        <v>-3698.6616518105584</v>
      </c>
      <c r="BY59" s="77">
        <f>BY58+BX59</f>
        <v>-377326.2118021126</v>
      </c>
      <c r="BZ59" s="78">
        <f>IF(BX59&gt;0,$A59,9999)</f>
        <v>9999.0</v>
      </c>
      <c r="CA59" s="78">
        <f>IF(BY59&gt;0,$A59,9999)</f>
        <v>9999.0</v>
      </c>
      <c r="CB59" s="76">
        <f>IF($A59-$D$17&lt;Premissas!$B$41,0,$C$17*(Premissas!$B$39+(Premissas!$B$40-Premissas!$B$39)*$A59/36)/(1+EXP(-$K$17*($A59-$D$17-$I$17))))</f>
        <v>36.44782058251279</v>
      </c>
      <c r="CC59" s="77">
        <f>(CB59*$B$17+IF($A59&gt;=Premissas!$B$46+$D$17,$F$17,0))*(1-$E$17)*(1-Premissas!$B$60)</f>
        <v>14057.455597784026</v>
      </c>
      <c r="CD59" s="77">
        <f>-(CB59*$J$17+MAX(0,CB59-CB58)*$H$17+IF($A59-$D$17&lt;=2,Premissas!$B$49,IF($A59-$D$17&lt;=5,Premissas!$B$50,IF($A59-$D$17&lt;=8,Premissas!$B$51,$G$17)))+IF($A59=1+$D$17,Premissas!$B$55,IF($A59=3+$D$17,Premissas!$B$56,IF($A59=6+$D$17,Premissas!$B$57,0))))</f>
        <v>-40064.50768559613</v>
      </c>
      <c r="CE59" s="77">
        <f>CC59+CD59</f>
        <v>-26007.052087812102</v>
      </c>
      <c r="CF59" s="77">
        <f>CF58+CE59</f>
        <v>-328913.82959762897</v>
      </c>
      <c r="CG59" s="78">
        <f>IF(CE59&gt;0,$A59,9999)</f>
        <v>9999.0</v>
      </c>
      <c r="CH59" s="78">
        <f>IF(CF59&gt;0,$A59,9999)</f>
        <v>9999.0</v>
      </c>
    </row>
    <row r="60">
      <c r="A60" s="14" t="n">
        <v>19</v>
      </c>
      <c r="C60" s="76">
        <f>IF($A60-$D$6&lt;Premissas!$B$41,0,$C$6*(Premissas!$B$39+(Premissas!$B$40-Premissas!$B$39)*$A60/36)/(1+EXP(-$K$6*($A60-$D$6-$I$6))))</f>
        <v>244.5065646935248</v>
      </c>
      <c r="D60" s="77">
        <f>(C60*$B$6+IF($A60&gt;=Premissas!$B$46+$D$6,$F$6,0))*(1-$E$6)*(1-Premissas!$B$60)</f>
        <v>87997.59413723441</v>
      </c>
      <c r="E60" s="77">
        <f>-(C60*$J$6+MAX(0,C60-C59)*$H$6+IF($A60-$D$6&lt;=2,Premissas!$B$49,IF($A60-$D$6&lt;=5,Premissas!$B$50,IF($A60-$D$6&lt;=8,Premissas!$B$51,$G$6)))+IF($A60=1+$D$6,Premissas!$B$55,IF($A60=3+$D$6,Premissas!$B$56,IF($A60=6+$D$6,Premissas!$B$57,0))))</f>
        <v>-56048.814963553574</v>
      </c>
      <c r="F60" s="77">
        <f>D60+E60</f>
        <v>31948.779173680836</v>
      </c>
      <c r="G60" s="77">
        <f>G59+F60</f>
        <v>-182854.77449176615</v>
      </c>
      <c r="H60" s="78">
        <f>IF(F60&gt;0,$A60,9999)</f>
        <v>19.0</v>
      </c>
      <c r="I60" s="78">
        <f>IF(G60&gt;0,$A60,9999)</f>
        <v>9999.0</v>
      </c>
      <c r="J60" s="76">
        <f>IF($A60-$D$7&lt;Premissas!$B$41,0,$C$7*(Premissas!$B$39+(Premissas!$B$40-Premissas!$B$39)*$A60/36)/(1+EXP(-$K$7*($A60-$D$7-$I$7))))</f>
        <v>473.8780403189694</v>
      </c>
      <c r="K60" s="77">
        <f>(J60*$B$7+IF($A60&gt;=Premissas!$B$46+$D$7,$F$7,0))*(1-$E$7)*(1-Premissas!$B$60)</f>
        <v>113767.15054152888</v>
      </c>
      <c r="L60" s="77">
        <f>-(J60*$J$7+MAX(0,J60-J59)*$H$7+IF($A60-$D$7&lt;=2,Premissas!$B$49,IF($A60-$D$7&lt;=5,Premissas!$B$50,IF($A60-$D$7&lt;=8,Premissas!$B$51,$G$7)))+IF($A60=1+$D$7,Premissas!$B$55,IF($A60=3+$D$7,Premissas!$B$56,IF($A60=6+$D$7,Premissas!$B$57,0))))</f>
        <v>-55652.51104909582</v>
      </c>
      <c r="M60" s="77">
        <f>K60+L60</f>
        <v>58114.63949243307</v>
      </c>
      <c r="N60" s="77">
        <f>N59+M60</f>
        <v>125786.22310439151</v>
      </c>
      <c r="O60" s="78">
        <f>IF(M60&gt;0,$A60,9999)</f>
        <v>19.0</v>
      </c>
      <c r="P60" s="78">
        <f>IF(N60&gt;0,$A60,9999)</f>
        <v>19.0</v>
      </c>
      <c r="Q60" s="76">
        <f>IF($A60-$D$8&lt;Premissas!$B$41,0,$C$8*(Premissas!$B$39+(Premissas!$B$40-Premissas!$B$39)*$A60/36)/(1+EXP(-$K$8*($A60-$D$8-$I$8))))</f>
        <v>473.8780403189694</v>
      </c>
      <c r="R60" s="77">
        <f>(Q60*$B$8+IF($A60&gt;=Premissas!$B$46+$D$8,$F$8,0))*(1-$E$8)*(1-Premissas!$B$60)</f>
        <v>151689.53405537186</v>
      </c>
      <c r="S60" s="77">
        <f>-(Q60*$J$8+MAX(0,Q60-Q59)*$H$8+IF($A60-$D$8&lt;=2,Premissas!$B$49,IF($A60-$D$8&lt;=5,Premissas!$B$50,IF($A60-$D$8&lt;=8,Premissas!$B$51,$G$8)))+IF($A60=1+$D$8,Premissas!$B$55,IF($A60=3+$D$8,Premissas!$B$56,IF($A60=6+$D$8,Premissas!$B$57,0))))</f>
        <v>-55652.51104909582</v>
      </c>
      <c r="T60" s="77">
        <f>R60+S60</f>
        <v>96037.02300627604</v>
      </c>
      <c r="U60" s="77">
        <f>U59+T60</f>
        <v>416594.94383276143</v>
      </c>
      <c r="V60" s="78">
        <f>IF(T60&gt;0,$A60,9999)</f>
        <v>19.0</v>
      </c>
      <c r="W60" s="78">
        <f>IF(U60&gt;0,$A60,9999)</f>
        <v>19.0</v>
      </c>
      <c r="X60" s="76">
        <f>IF($A60-$D$9&lt;Premissas!$B$41,0,$C$9*(Premissas!$B$39+(Premissas!$B$40-Premissas!$B$39)*$A60/36)/(1+EXP(-$K$9*($A60-$D$9-$I$9))))</f>
        <v>473.8780403189694</v>
      </c>
      <c r="Y60" s="77">
        <f>(X60*$B$9+IF($A60&gt;=Premissas!$B$46+$D$9,$F$9,0))*(1-$E$9)*(1-Premissas!$B$60)</f>
        <v>121351.62724429749</v>
      </c>
      <c r="Z60" s="77">
        <f>-(X60*$J$9+MAX(0,X60-X59)*$H$9+IF($A60-$D$9&lt;=2,Premissas!$B$49,IF($A60-$D$9&lt;=5,Premissas!$B$50,IF($A60-$D$9&lt;=8,Premissas!$B$51,$G$9)))+IF($A60=1+$D$9,Premissas!$B$55,IF($A60=3+$D$9,Premissas!$B$56,IF($A60=6+$D$9,Premissas!$B$57,0))))</f>
        <v>-55652.51104909582</v>
      </c>
      <c r="AA60" s="77">
        <f>Y60+Z60</f>
        <v>65699.11619520167</v>
      </c>
      <c r="AB60" s="77">
        <f>AB59+AA60</f>
        <v>183947.96725006556</v>
      </c>
      <c r="AC60" s="78">
        <f>IF(AA60&gt;0,$A60,9999)</f>
        <v>19.0</v>
      </c>
      <c r="AD60" s="78">
        <f>IF(AB60&gt;0,$A60,9999)</f>
        <v>19.0</v>
      </c>
      <c r="AE60" s="76">
        <f>IF($A60-$D$10&lt;Premissas!$B$41,0,$C$10*(Premissas!$B$39+(Premissas!$B$40-Premissas!$B$39)*$A60/36)/(1+EXP(-$K$10*($A60-$D$10-$I$10))))</f>
        <v>473.8780403189694</v>
      </c>
      <c r="AF60" s="77">
        <f>(AE60*$B$10+IF($A60&gt;=Premissas!$B$46+$D$10,$F$10,0))*(1-$E$10)*(1-Premissas!$B$60)</f>
        <v>106182.6738387603</v>
      </c>
      <c r="AG60" s="77">
        <f>-(AE60*$J$10+MAX(0,AE60-AE59)*$H$10+IF($A60-$D$10&lt;=2,Premissas!$B$49,IF($A60-$D$10&lt;=5,Premissas!$B$50,IF($A60-$D$10&lt;=8,Premissas!$B$51,$G$10)))+IF($A60=1+$D$10,Premissas!$B$55,IF($A60=3+$D$10,Premissas!$B$56,IF($A60=6+$D$10,Premissas!$B$57,0))))</f>
        <v>-55652.51104909582</v>
      </c>
      <c r="AH60" s="77">
        <f>AF60+AG60</f>
        <v>50530.16278966448</v>
      </c>
      <c r="AI60" s="77">
        <f>AI59+AH60</f>
        <v>67624.47895871747</v>
      </c>
      <c r="AJ60" s="78">
        <f>IF(AH60&gt;0,$A60,9999)</f>
        <v>19.0</v>
      </c>
      <c r="AK60" s="78">
        <f>IF(AI60&gt;0,$A60,9999)</f>
        <v>19.0</v>
      </c>
      <c r="AL60" s="76">
        <f>IF($A60-$D$11&lt;Premissas!$B$41,0,$C$11*(Premissas!$B$39+(Premissas!$B$40-Premissas!$B$39)*$A60/36)/(1+EXP(-$K$11*($A60-$D$11-$I$11))))</f>
        <v>473.8780403189694</v>
      </c>
      <c r="AM60" s="77">
        <f>(AL60*$B$11+IF($A60&gt;=Premissas!$B$46+$D$11,$F$11,0))*(1-$E$11)*(1-Premissas!$B$60)</f>
        <v>91013.7204332231</v>
      </c>
      <c r="AN60" s="77">
        <f>-(AL60*$J$11+MAX(0,AL60-AL59)*$H$11+IF($A60-$D$11&lt;=2,Premissas!$B$49,IF($A60-$D$11&lt;=5,Premissas!$B$50,IF($A60-$D$11&lt;=8,Premissas!$B$51,$G$11)))+IF($A60=1+$D$11,Premissas!$B$55,IF($A60=3+$D$11,Premissas!$B$56,IF($A60=6+$D$11,Premissas!$B$57,0))))</f>
        <v>-55652.51104909582</v>
      </c>
      <c r="AO60" s="77">
        <f>AM60+AN60</f>
        <v>35361.20938412729</v>
      </c>
      <c r="AP60" s="77">
        <f>AP59+AO60</f>
        <v>-48699.00933263048</v>
      </c>
      <c r="AQ60" s="78">
        <f>IF(AO60&gt;0,$A60,9999)</f>
        <v>19.0</v>
      </c>
      <c r="AR60" s="78">
        <f>IF(AP60&gt;0,$A60,9999)</f>
        <v>9999.0</v>
      </c>
      <c r="AS60" s="76">
        <f>IF($A60-$D$12&lt;Premissas!$B$41,0,$C$12*(Premissas!$B$39+(Premissas!$B$40-Premissas!$B$39)*$A60/36)/(1+EXP(-$K$12*($A60-$D$12-$I$12))))</f>
        <v>473.8780403189694</v>
      </c>
      <c r="AT60" s="77">
        <f>(AS60*$B$12+IF($A60&gt;=Premissas!$B$46+$D$12,$F$12,0))*(1-$E$12)*(1-Premissas!$B$60)</f>
        <v>95996.72402956753</v>
      </c>
      <c r="AU60" s="77">
        <f>-(AS60*$J$12+MAX(0,AS60-AS59)*$H$12+IF($A60-$D$12&lt;=2,Premissas!$B$49,IF($A60-$D$12&lt;=5,Premissas!$B$50,IF($A60-$D$12&lt;=8,Premissas!$B$51,$G$12)))+IF($A60=1+$D$12,Premissas!$B$55,IF($A60=3+$D$12,Premissas!$B$56,IF($A60=6+$D$12,Premissas!$B$57,0))))</f>
        <v>-55652.51104909582</v>
      </c>
      <c r="AV60" s="77">
        <f>AT60+AU60</f>
        <v>40344.21298047171</v>
      </c>
      <c r="AW60" s="77">
        <f>AW59+AV60</f>
        <v>-6308.452846295739</v>
      </c>
      <c r="AX60" s="78">
        <f>IF(AV60&gt;0,$A60,9999)</f>
        <v>19.0</v>
      </c>
      <c r="AY60" s="78">
        <f>IF(AW60&gt;0,$A60,9999)</f>
        <v>9999.0</v>
      </c>
      <c r="AZ60" s="76">
        <f>IF($A60-$D$13&lt;Premissas!$B$41,0,$C$13*(Premissas!$B$39+(Premissas!$B$40-Premissas!$B$39)*$A60/36)/(1+EXP(-$K$13*($A60-$D$13-$I$13))))</f>
        <v>301.76858020718686</v>
      </c>
      <c r="BA60" s="77">
        <f>(AZ60*$B$13+IF($A60&gt;=Premissas!$B$46+$D$13,$F$13,0))*(1-$E$13)*(1-Premissas!$B$60)</f>
        <v>75171.60411146165</v>
      </c>
      <c r="BB60" s="77">
        <f>-(AZ60*$J$13+MAX(0,AZ60-AZ59)*$H$13+IF($A60-$D$13&lt;=2,Premissas!$B$49,IF($A60-$D$13&lt;=5,Premissas!$B$50,IF($A60-$D$13&lt;=8,Premissas!$B$51,$G$13)))+IF($A60=1+$D$13,Premissas!$B$55,IF($A60=3+$D$13,Premissas!$B$56,IF($A60=6+$D$13,Premissas!$B$57,0))))</f>
        <v>-50519.58437906119</v>
      </c>
      <c r="BC60" s="77">
        <f>BA60+BB60</f>
        <v>24652.019732400462</v>
      </c>
      <c r="BD60" s="77">
        <f>BD59+BC60</f>
        <v>-175006.95344429568</v>
      </c>
      <c r="BE60" s="78">
        <f>IF(BC60&gt;0,$A60,9999)</f>
        <v>19.0</v>
      </c>
      <c r="BF60" s="78">
        <f>IF(BD60&gt;0,$A60,9999)</f>
        <v>9999.0</v>
      </c>
      <c r="BG60" s="76">
        <f>IF($A60-$D$14&lt;Premissas!$B$41,0,$C$14*(Premissas!$B$39+(Premissas!$B$40-Premissas!$B$39)*$A60/36)/(1+EXP(-$K$14*($A60-$D$14-$I$14))))</f>
        <v>473.8780403189694</v>
      </c>
      <c r="BH60" s="77">
        <f>(BG60*$B$14+IF($A60&gt;=Premissas!$B$46+$D$14,$F$14,0))*(1-$E$14)*(1-Premissas!$B$60)</f>
        <v>113767.15054152888</v>
      </c>
      <c r="BI60" s="77">
        <f>-(BG60*$J$14+MAX(0,BG60-BG59)*$H$14+IF($A60-$D$14&lt;=2,Premissas!$B$49,IF($A60-$D$14&lt;=5,Premissas!$B$50,IF($A60-$D$14&lt;=8,Premissas!$B$51,$G$14)))+IF($A60=1+$D$14,Premissas!$B$55,IF($A60=3+$D$14,Premissas!$B$56,IF($A60=6+$D$14,Premissas!$B$57,0))))</f>
        <v>-45652.51104909582</v>
      </c>
      <c r="BJ60" s="77">
        <f>BH60+BI60</f>
        <v>68114.63949243307</v>
      </c>
      <c r="BK60" s="77">
        <f>BK59+BJ60</f>
        <v>235786.22310439148</v>
      </c>
      <c r="BL60" s="78">
        <f>IF(BJ60&gt;0,$A60,9999)</f>
        <v>19.0</v>
      </c>
      <c r="BM60" s="78">
        <f>IF(BK60&gt;0,$A60,9999)</f>
        <v>19.0</v>
      </c>
      <c r="BN60" s="76">
        <f>IF($A60-$D$15&lt;Premissas!$B$41,0,$C$15*(Premissas!$B$39+(Premissas!$B$40-Premissas!$B$39)*$A60/36)/(1+EXP(-$K$15*($A60-$D$15-$I$15))))</f>
        <v>122.2532823467624</v>
      </c>
      <c r="BO60" s="77">
        <f>(BN60*$B$15+IF($A60&gt;=Premissas!$B$46+$D$15,$F$15,0))*(1-$E$15)*(1-Premissas!$B$60)</f>
        <v>48998.797068617205</v>
      </c>
      <c r="BP60" s="77">
        <f>-(BN60*$J$15+MAX(0,BN60-BN59)*$H$15+IF($A60-$D$15&lt;=2,Premissas!$B$49,IF($A60-$D$15&lt;=5,Premissas!$B$50,IF($A60-$D$15&lt;=8,Premissas!$B$51,$G$15)))+IF($A60=1+$D$15,Premissas!$B$55,IF($A60=3+$D$15,Premissas!$B$56,IF($A60=6+$D$15,Premissas!$B$57,0))))</f>
        <v>-45524.40748177678</v>
      </c>
      <c r="BQ60" s="77">
        <f>BO60+BP60</f>
        <v>3474.3895868404215</v>
      </c>
      <c r="BR60" s="77">
        <f>BR59+BQ60</f>
        <v>-323927.3872458831</v>
      </c>
      <c r="BS60" s="78">
        <f>IF(BQ60&gt;0,$A60,9999)</f>
        <v>19.0</v>
      </c>
      <c r="BT60" s="78">
        <f>IF(BR60&gt;0,$A60,9999)</f>
        <v>9999.0</v>
      </c>
      <c r="BU60" s="76">
        <f>IF($A60-$D$16&lt;Premissas!$B$41,0,$C$16*(Premissas!$B$39+(Premissas!$B$40-Premissas!$B$39)*$A60/36)/(1+EXP(-$K$16*($A60-$D$16-$I$16))))</f>
        <v>244.5065646935248</v>
      </c>
      <c r="BV60" s="77">
        <f>(BU60*$B$16+IF($A60&gt;=Premissas!$B$46+$D$16,$F$16,0))*(1-$E$16)*(1-Premissas!$B$60)</f>
        <v>57198.436189202366</v>
      </c>
      <c r="BW60" s="77">
        <f>-(BU60*$J$16+MAX(0,BU60-BU59)*$H$16+IF($A60-$D$16&lt;=2,Premissas!$B$49,IF($A60-$D$16&lt;=5,Premissas!$B$50,IF($A60-$D$16&lt;=8,Premissas!$B$51,$G$16)))+IF($A60=1+$D$16,Premissas!$B$55,IF($A60=3+$D$16,Premissas!$B$56,IF($A60=6+$D$16,Premissas!$B$57,0))))</f>
        <v>-56048.814963553574</v>
      </c>
      <c r="BX60" s="77">
        <f>BV60+BW60</f>
        <v>1149.6212256487925</v>
      </c>
      <c r="BY60" s="77">
        <f>BY59+BX60</f>
        <v>-376176.5905764638</v>
      </c>
      <c r="BZ60" s="78">
        <f>IF(BX60&gt;0,$A60,9999)</f>
        <v>19.0</v>
      </c>
      <c r="CA60" s="78">
        <f>IF(BY60&gt;0,$A60,9999)</f>
        <v>9999.0</v>
      </c>
      <c r="CB60" s="76">
        <f>IF($A60-$D$17&lt;Premissas!$B$41,0,$C$17*(Premissas!$B$39+(Premissas!$B$40-Premissas!$B$39)*$A60/36)/(1+EXP(-$K$17*($A60-$D$17-$I$17))))</f>
        <v>46.809912097682066</v>
      </c>
      <c r="CC60" s="77">
        <f>(CB60*$B$17+IF($A60&gt;=Premissas!$B$46+$D$17,$F$17,0))*(1-$E$17)*(1-Premissas!$B$60)</f>
        <v>16206.035273454376</v>
      </c>
      <c r="CD60" s="77">
        <f>-(CB60*$J$17+MAX(0,CB60-CB59)*$H$17+IF($A60-$D$17&lt;=2,Premissas!$B$49,IF($A60-$D$17&lt;=5,Premissas!$B$50,IF($A60-$D$17&lt;=8,Premissas!$B$51,$G$17)))+IF($A60=1+$D$17,Premissas!$B$55,IF($A60=3+$D$17,Premissas!$B$56,IF($A60=6+$D$17,Premissas!$B$57,0))))</f>
        <v>-41251.2826504634</v>
      </c>
      <c r="CE60" s="77">
        <f>CC60+CD60</f>
        <v>-25045.247377009022</v>
      </c>
      <c r="CF60" s="77">
        <f>CF59+CE60</f>
        <v>-353959.076974638</v>
      </c>
      <c r="CG60" s="78">
        <f>IF(CE60&gt;0,$A60,9999)</f>
        <v>9999.0</v>
      </c>
      <c r="CH60" s="78">
        <f>IF(CF60&gt;0,$A60,9999)</f>
        <v>9999.0</v>
      </c>
    </row>
    <row r="61">
      <c r="A61" s="14" t="n">
        <v>20</v>
      </c>
      <c r="C61" s="76">
        <f>IF($A61-$D$6&lt;Premissas!$B$41,0,$C$6*(Premissas!$B$39+(Premissas!$B$40-Premissas!$B$39)*$A61/36)/(1+EXP(-$K$6*($A61-$D$6-$I$6))))</f>
        <v>266.9544759427566</v>
      </c>
      <c r="D61" s="77">
        <f>(C61*$B$6+IF($A61&gt;=Premissas!$B$46+$D$6,$F$6,0))*(1-$E$6)*(1-Premissas!$B$60)</f>
        <v>95158.47782573935</v>
      </c>
      <c r="E61" s="77">
        <f>-(C61*$J$6+MAX(0,C61-C60)*$H$6+IF($A61-$D$6&lt;=2,Premissas!$B$49,IF($A61-$D$6&lt;=5,Premissas!$B$50,IF($A61-$D$6&lt;=8,Premissas!$B$51,$G$6)))+IF($A61=1+$D$6,Premissas!$B$55,IF($A61=3+$D$6,Premissas!$B$56,IF($A61=6+$D$6,Premissas!$B$57,0))))</f>
        <v>-55992.11591711675</v>
      </c>
      <c r="F61" s="77">
        <f>D61+E61</f>
        <v>39166.361908622595</v>
      </c>
      <c r="G61" s="77">
        <f>G60+F61</f>
        <v>-143688.41258314357</v>
      </c>
      <c r="H61" s="78">
        <f>IF(F61&gt;0,$A61,9999)</f>
        <v>20.0</v>
      </c>
      <c r="I61" s="78">
        <f>IF(G61&gt;0,$A61,9999)</f>
        <v>9999.0</v>
      </c>
      <c r="J61" s="76">
        <f>IF($A61-$D$7&lt;Premissas!$B$41,0,$C$7*(Premissas!$B$39+(Premissas!$B$40-Premissas!$B$39)*$A61/36)/(1+EXP(-$K$7*($A61-$D$7-$I$7))))</f>
        <v>485.38200135841566</v>
      </c>
      <c r="K61" s="77">
        <f>(J61*$B$7+IF($A61&gt;=Premissas!$B$46+$D$7,$F$7,0))*(1-$E$7)*(1-Premissas!$B$60)</f>
        <v>116346.9138046247</v>
      </c>
      <c r="L61" s="77">
        <f>-(J61*$J$7+MAX(0,J61-J60)*$H$7+IF($A61-$D$7&lt;=2,Premissas!$B$49,IF($A61-$D$7&lt;=5,Premissas!$B$50,IF($A61-$D$7&lt;=8,Premissas!$B$51,$G$7)))+IF($A61=1+$D$7,Premissas!$B$55,IF($A61=3+$D$7,Premissas!$B$56,IF($A61=6+$D$7,Premissas!$B$57,0))))</f>
        <v>-55961.24210902577</v>
      </c>
      <c r="M61" s="77">
        <f>K61+L61</f>
        <v>60385.671695598925</v>
      </c>
      <c r="N61" s="77">
        <f>N60+M61</f>
        <v>186171.89479999043</v>
      </c>
      <c r="O61" s="78">
        <f>IF(M61&gt;0,$A61,9999)</f>
        <v>20.0</v>
      </c>
      <c r="P61" s="78">
        <f>IF(N61&gt;0,$A61,9999)</f>
        <v>20.0</v>
      </c>
      <c r="Q61" s="76">
        <f>IF($A61-$D$8&lt;Premissas!$B$41,0,$C$8*(Premissas!$B$39+(Premissas!$B$40-Premissas!$B$39)*$A61/36)/(1+EXP(-$K$8*($A61-$D$8-$I$8))))</f>
        <v>485.38200135841566</v>
      </c>
      <c r="R61" s="77">
        <f>(Q61*$B$8+IF($A61&gt;=Premissas!$B$46+$D$8,$F$8,0))*(1-$E$8)*(1-Premissas!$B$60)</f>
        <v>155129.21840616627</v>
      </c>
      <c r="S61" s="77">
        <f>-(Q61*$J$8+MAX(0,Q61-Q60)*$H$8+IF($A61-$D$8&lt;=2,Premissas!$B$49,IF($A61-$D$8&lt;=5,Premissas!$B$50,IF($A61-$D$8&lt;=8,Premissas!$B$51,$G$8)))+IF($A61=1+$D$8,Premissas!$B$55,IF($A61=3+$D$8,Premissas!$B$56,IF($A61=6+$D$8,Premissas!$B$57,0))))</f>
        <v>-55961.24210902577</v>
      </c>
      <c r="T61" s="77">
        <f>R61+S61</f>
        <v>99167.9762971405</v>
      </c>
      <c r="U61" s="77">
        <f>U60+T61</f>
        <v>515762.92012990196</v>
      </c>
      <c r="V61" s="78">
        <f>IF(T61&gt;0,$A61,9999)</f>
        <v>20.0</v>
      </c>
      <c r="W61" s="78">
        <f>IF(U61&gt;0,$A61,9999)</f>
        <v>20.0</v>
      </c>
      <c r="X61" s="76">
        <f>IF($A61-$D$9&lt;Premissas!$B$41,0,$C$9*(Premissas!$B$39+(Premissas!$B$40-Premissas!$B$39)*$A61/36)/(1+EXP(-$K$9*($A61-$D$9-$I$9))))</f>
        <v>485.38200135841566</v>
      </c>
      <c r="Y61" s="77">
        <f>(X61*$B$9+IF($A61&gt;=Premissas!$B$46+$D$9,$F$9,0))*(1-$E$9)*(1-Premissas!$B$60)</f>
        <v>124103.37472493302</v>
      </c>
      <c r="Z61" s="77">
        <f>-(X61*$J$9+MAX(0,X61-X60)*$H$9+IF($A61-$D$9&lt;=2,Premissas!$B$49,IF($A61-$D$9&lt;=5,Premissas!$B$50,IF($A61-$D$9&lt;=8,Premissas!$B$51,$G$9)))+IF($A61=1+$D$9,Premissas!$B$55,IF($A61=3+$D$9,Premissas!$B$56,IF($A61=6+$D$9,Premissas!$B$57,0))))</f>
        <v>-55961.24210902577</v>
      </c>
      <c r="AA61" s="77">
        <f>Y61+Z61</f>
        <v>68142.13261590725</v>
      </c>
      <c r="AB61" s="77">
        <f>AB60+AA61</f>
        <v>252090.09986597282</v>
      </c>
      <c r="AC61" s="78">
        <f>IF(AA61&gt;0,$A61,9999)</f>
        <v>20.0</v>
      </c>
      <c r="AD61" s="78">
        <f>IF(AB61&gt;0,$A61,9999)</f>
        <v>20.0</v>
      </c>
      <c r="AE61" s="76">
        <f>IF($A61-$D$10&lt;Premissas!$B$41,0,$C$10*(Premissas!$B$39+(Premissas!$B$40-Premissas!$B$39)*$A61/36)/(1+EXP(-$K$10*($A61-$D$10-$I$10))))</f>
        <v>485.38200135841566</v>
      </c>
      <c r="AF61" s="77">
        <f>(AE61*$B$10+IF($A61&gt;=Premissas!$B$46+$D$10,$F$10,0))*(1-$E$10)*(1-Premissas!$B$60)</f>
        <v>108590.45288431639</v>
      </c>
      <c r="AG61" s="77">
        <f>-(AE61*$J$10+MAX(0,AE61-AE60)*$H$10+IF($A61-$D$10&lt;=2,Premissas!$B$49,IF($A61-$D$10&lt;=5,Premissas!$B$50,IF($A61-$D$10&lt;=8,Premissas!$B$51,$G$10)))+IF($A61=1+$D$10,Premissas!$B$55,IF($A61=3+$D$10,Premissas!$B$56,IF($A61=6+$D$10,Premissas!$B$57,0))))</f>
        <v>-55961.24210902577</v>
      </c>
      <c r="AH61" s="77">
        <f>AF61+AG61</f>
        <v>52629.210775290616</v>
      </c>
      <c r="AI61" s="77">
        <f>AI60+AH61</f>
        <v>120253.68973400809</v>
      </c>
      <c r="AJ61" s="78">
        <f>IF(AH61&gt;0,$A61,9999)</f>
        <v>20.0</v>
      </c>
      <c r="AK61" s="78">
        <f>IF(AI61&gt;0,$A61,9999)</f>
        <v>20.0</v>
      </c>
      <c r="AL61" s="76">
        <f>IF($A61-$D$11&lt;Premissas!$B$41,0,$C$11*(Premissas!$B$39+(Premissas!$B$40-Premissas!$B$39)*$A61/36)/(1+EXP(-$K$11*($A61-$D$11-$I$11))))</f>
        <v>485.38200135841566</v>
      </c>
      <c r="AM61" s="77">
        <f>(AL61*$B$11+IF($A61&gt;=Premissas!$B$46+$D$11,$F$11,0))*(1-$E$11)*(1-Premissas!$B$60)</f>
        <v>93077.53104369975</v>
      </c>
      <c r="AN61" s="77">
        <f>-(AL61*$J$11+MAX(0,AL61-AL60)*$H$11+IF($A61-$D$11&lt;=2,Premissas!$B$49,IF($A61-$D$11&lt;=5,Premissas!$B$50,IF($A61-$D$11&lt;=8,Premissas!$B$51,$G$11)))+IF($A61=1+$D$11,Premissas!$B$55,IF($A61=3+$D$11,Premissas!$B$56,IF($A61=6+$D$11,Premissas!$B$57,0))))</f>
        <v>-55961.24210902577</v>
      </c>
      <c r="AO61" s="77">
        <f>AM61+AN61</f>
        <v>37116.28893467398</v>
      </c>
      <c r="AP61" s="77">
        <f>AP60+AO61</f>
        <v>-11582.720397956495</v>
      </c>
      <c r="AQ61" s="78">
        <f>IF(AO61&gt;0,$A61,9999)</f>
        <v>20.0</v>
      </c>
      <c r="AR61" s="78">
        <f>IF(AP61&gt;0,$A61,9999)</f>
        <v>9999.0</v>
      </c>
      <c r="AS61" s="76">
        <f>IF($A61-$D$12&lt;Premissas!$B$41,0,$C$12*(Premissas!$B$39+(Premissas!$B$40-Premissas!$B$39)*$A61/36)/(1+EXP(-$K$12*($A61-$D$12-$I$12))))</f>
        <v>485.38200135841566</v>
      </c>
      <c r="AT61" s="77">
        <f>(AS61*$B$12+IF($A61&gt;=Premissas!$B$46+$D$12,$F$12,0))*(1-$E$12)*(1-Premissas!$B$60)</f>
        <v>98145.08875368413</v>
      </c>
      <c r="AU61" s="77">
        <f>-(AS61*$J$12+MAX(0,AS61-AS60)*$H$12+IF($A61-$D$12&lt;=2,Premissas!$B$49,IF($A61-$D$12&lt;=5,Premissas!$B$50,IF($A61-$D$12&lt;=8,Premissas!$B$51,$G$12)))+IF($A61=1+$D$12,Premissas!$B$55,IF($A61=3+$D$12,Premissas!$B$56,IF($A61=6+$D$12,Premissas!$B$57,0))))</f>
        <v>-55961.24210902577</v>
      </c>
      <c r="AV61" s="77">
        <f>AT61+AU61</f>
        <v>42183.84664465836</v>
      </c>
      <c r="AW61" s="77">
        <f>AW60+AV61</f>
        <v>35875.393798362624</v>
      </c>
      <c r="AX61" s="78">
        <f>IF(AV61&gt;0,$A61,9999)</f>
        <v>20.0</v>
      </c>
      <c r="AY61" s="78">
        <f>IF(AW61&gt;0,$A61,9999)</f>
        <v>20.0</v>
      </c>
      <c r="AZ61" s="76">
        <f>IF($A61-$D$13&lt;Premissas!$B$41,0,$C$13*(Premissas!$B$39+(Premissas!$B$40-Premissas!$B$39)*$A61/36)/(1+EXP(-$K$13*($A61-$D$13-$I$13))))</f>
        <v>354.51101976449917</v>
      </c>
      <c r="BA61" s="77">
        <f>(AZ61*$B$13+IF($A61&gt;=Premissas!$B$46+$D$13,$F$13,0))*(1-$E$13)*(1-Premissas!$B$60)</f>
        <v>86999.09618218894</v>
      </c>
      <c r="BB61" s="77">
        <f>-(AZ61*$J$13+MAX(0,AZ61-AZ60)*$H$13+IF($A61-$D$13&lt;=2,Premissas!$B$49,IF($A61-$D$13&lt;=5,Premissas!$B$50,IF($A61-$D$13&lt;=8,Premissas!$B$51,$G$13)))+IF($A61=1+$D$13,Premissas!$B$55,IF($A61=3+$D$13,Premissas!$B$56,IF($A61=6+$D$13,Premissas!$B$57,0))))</f>
        <v>-52526.58480797458</v>
      </c>
      <c r="BC61" s="77">
        <f>BA61+BB61</f>
        <v>34472.51137421436</v>
      </c>
      <c r="BD61" s="77">
        <f>BD60+BC61</f>
        <v>-140534.4420700813</v>
      </c>
      <c r="BE61" s="78">
        <f>IF(BC61&gt;0,$A61,9999)</f>
        <v>20.0</v>
      </c>
      <c r="BF61" s="78">
        <f>IF(BD61&gt;0,$A61,9999)</f>
        <v>9999.0</v>
      </c>
      <c r="BG61" s="76">
        <f>IF($A61-$D$14&lt;Premissas!$B$41,0,$C$14*(Premissas!$B$39+(Premissas!$B$40-Premissas!$B$39)*$A61/36)/(1+EXP(-$K$14*($A61-$D$14-$I$14))))</f>
        <v>485.38200135841566</v>
      </c>
      <c r="BH61" s="77">
        <f>(BG61*$B$14+IF($A61&gt;=Premissas!$B$46+$D$14,$F$14,0))*(1-$E$14)*(1-Premissas!$B$60)</f>
        <v>116346.9138046247</v>
      </c>
      <c r="BI61" s="77">
        <f>-(BG61*$J$14+MAX(0,BG61-BG60)*$H$14+IF($A61-$D$14&lt;=2,Premissas!$B$49,IF($A61-$D$14&lt;=5,Premissas!$B$50,IF($A61-$D$14&lt;=8,Premissas!$B$51,$G$14)))+IF($A61=1+$D$14,Premissas!$B$55,IF($A61=3+$D$14,Premissas!$B$56,IF($A61=6+$D$14,Premissas!$B$57,0))))</f>
        <v>-45961.24210902577</v>
      </c>
      <c r="BJ61" s="77">
        <f>BH61+BI61</f>
        <v>70385.67169559892</v>
      </c>
      <c r="BK61" s="77">
        <f>BK60+BJ61</f>
        <v>306171.8947999904</v>
      </c>
      <c r="BL61" s="78">
        <f>IF(BJ61&gt;0,$A61,9999)</f>
        <v>20.0</v>
      </c>
      <c r="BM61" s="78">
        <f>IF(BK61&gt;0,$A61,9999)</f>
        <v>20.0</v>
      </c>
      <c r="BN61" s="76">
        <f>IF($A61-$D$15&lt;Premissas!$B$41,0,$C$15*(Premissas!$B$39+(Premissas!$B$40-Premissas!$B$39)*$A61/36)/(1+EXP(-$K$15*($A61-$D$15-$I$15))))</f>
        <v>133.4772379713783</v>
      </c>
      <c r="BO61" s="77">
        <f>(BN61*$B$15+IF($A61&gt;=Premissas!$B$46+$D$15,$F$15,0))*(1-$E$15)*(1-Premissas!$B$60)</f>
        <v>52579.238912869674</v>
      </c>
      <c r="BP61" s="77">
        <f>-(BN61*$J$15+MAX(0,BN61-BN60)*$H$15+IF($A61-$D$15&lt;=2,Premissas!$B$49,IF($A61-$D$15&lt;=5,Premissas!$B$50,IF($A61-$D$15&lt;=8,Premissas!$B$51,$G$15)))+IF($A61=1+$D$15,Premissas!$B$55,IF($A61=3+$D$15,Premissas!$B$56,IF($A61=6+$D$15,Premissas!$B$57,0))))</f>
        <v>-45496.05795855838</v>
      </c>
      <c r="BQ61" s="77">
        <f>BO61+BP61</f>
        <v>7083.180954311298</v>
      </c>
      <c r="BR61" s="77">
        <f>BR60+BQ61</f>
        <v>-316844.20629157184</v>
      </c>
      <c r="BS61" s="78">
        <f>IF(BQ61&gt;0,$A61,9999)</f>
        <v>20.0</v>
      </c>
      <c r="BT61" s="78">
        <f>IF(BR61&gt;0,$A61,9999)</f>
        <v>9999.0</v>
      </c>
      <c r="BU61" s="76">
        <f>IF($A61-$D$16&lt;Premissas!$B$41,0,$C$16*(Premissas!$B$39+(Premissas!$B$40-Premissas!$B$39)*$A61/36)/(1+EXP(-$K$16*($A61-$D$16-$I$16))))</f>
        <v>266.9544759427566</v>
      </c>
      <c r="BV61" s="77">
        <f>(BU61*$B$16+IF($A61&gt;=Premissas!$B$46+$D$16,$F$16,0))*(1-$E$16)*(1-Premissas!$B$60)</f>
        <v>61853.010586730576</v>
      </c>
      <c r="BW61" s="77">
        <f>-(BU61*$J$16+MAX(0,BU61-BU60)*$H$16+IF($A61-$D$16&lt;=2,Premissas!$B$49,IF($A61-$D$16&lt;=5,Premissas!$B$50,IF($A61-$D$16&lt;=8,Premissas!$B$51,$G$16)))+IF($A61=1+$D$16,Premissas!$B$55,IF($A61=3+$D$16,Premissas!$B$56,IF($A61=6+$D$16,Premissas!$B$57,0))))</f>
        <v>-55992.11591711675</v>
      </c>
      <c r="BX61" s="77">
        <f>BV61+BW61</f>
        <v>5860.894669613823</v>
      </c>
      <c r="BY61" s="77">
        <f>BY60+BX61</f>
        <v>-370315.69590685</v>
      </c>
      <c r="BZ61" s="78">
        <f>IF(BX61&gt;0,$A61,9999)</f>
        <v>20.0</v>
      </c>
      <c r="CA61" s="78">
        <f>IF(BY61&gt;0,$A61,9999)</f>
        <v>9999.0</v>
      </c>
      <c r="CB61" s="76">
        <f>IF($A61-$D$17&lt;Premissas!$B$41,0,$C$17*(Premissas!$B$39+(Premissas!$B$40-Premissas!$B$39)*$A61/36)/(1+EXP(-$K$17*($A61-$D$17-$I$17))))</f>
        <v>58.89522354790202</v>
      </c>
      <c r="CC61" s="77">
        <f>(CB61*$B$17+IF($A61&gt;=Premissas!$B$46+$D$17,$F$17,0))*(1-$E$17)*(1-Premissas!$B$60)</f>
        <v>18711.924602657484</v>
      </c>
      <c r="CD61" s="77">
        <f>-(CB61*$J$17+MAX(0,CB61-CB60)*$H$17+IF($A61-$D$17&lt;=2,Premissas!$B$49,IF($A61-$D$17&lt;=5,Premissas!$B$50,IF($A61-$D$17&lt;=8,Premissas!$B$51,$G$17)))+IF($A61=1+$D$17,Premissas!$B$55,IF($A61=3+$D$17,Premissas!$B$56,IF($A61=6+$D$17,Premissas!$B$57,0))))</f>
        <v>-42484.40963974357</v>
      </c>
      <c r="CE61" s="77">
        <f>CC61+CD61</f>
        <v>-23772.485037086088</v>
      </c>
      <c r="CF61" s="77">
        <f>CF60+CE61</f>
        <v>-377731.56201172405</v>
      </c>
      <c r="CG61" s="78">
        <f>IF(CE61&gt;0,$A61,9999)</f>
        <v>9999.0</v>
      </c>
      <c r="CH61" s="78">
        <f>IF(CF61&gt;0,$A61,9999)</f>
        <v>9999.0</v>
      </c>
    </row>
    <row r="62">
      <c r="A62" s="14" t="n">
        <v>21</v>
      </c>
      <c r="C62" s="76">
        <f>IF($A62-$D$6&lt;Premissas!$B$41,0,$C$6*(Premissas!$B$39+(Premissas!$B$40-Premissas!$B$39)*$A62/36)/(1+EXP(-$K$6*($A62-$D$6-$I$6))))</f>
        <v>286.40499536599657</v>
      </c>
      <c r="D62" s="77">
        <f>(C62*$B$6+IF($A62&gt;=Premissas!$B$46+$D$6,$F$6,0))*(1-$E$6)*(1-Premissas!$B$60)</f>
        <v>101363.19352175291</v>
      </c>
      <c r="E62" s="77">
        <f>-(C62*$J$6+MAX(0,C62-C61)*$H$6+IF($A62-$D$6&lt;=2,Premissas!$B$49,IF($A62-$D$6&lt;=5,Premissas!$B$50,IF($A62-$D$6&lt;=8,Premissas!$B$51,$G$6)))+IF($A62=1+$D$6,Premissas!$B$55,IF($A62=3+$D$6,Premissas!$B$56,IF($A62=6+$D$6,Premissas!$B$57,0))))</f>
        <v>-55668.43256076584</v>
      </c>
      <c r="F62" s="77">
        <f>D62+E62</f>
        <v>45694.76096098707</v>
      </c>
      <c r="G62" s="77">
        <f>G61+F62</f>
        <v>-97993.6516221565</v>
      </c>
      <c r="H62" s="78">
        <f>IF(F62&gt;0,$A62,9999)</f>
        <v>21.0</v>
      </c>
      <c r="I62" s="78">
        <f>IF(G62&gt;0,$A62,9999)</f>
        <v>9999.0</v>
      </c>
      <c r="J62" s="76">
        <f>IF($A62-$D$7&lt;Premissas!$B$41,0,$C$7*(Premissas!$B$39+(Premissas!$B$40-Premissas!$B$39)*$A62/36)/(1+EXP(-$K$7*($A62-$D$7-$I$7))))</f>
        <v>494.4889941553853</v>
      </c>
      <c r="K62" s="77">
        <f>(J62*$B$7+IF($A62&gt;=Premissas!$B$46+$D$7,$F$7,0))*(1-$E$7)*(1-Premissas!$B$60)</f>
        <v>118389.15693934515</v>
      </c>
      <c r="L62" s="77">
        <f>-(J62*$J$7+MAX(0,J62-J61)*$H$7+IF($A62-$D$7&lt;=2,Premissas!$B$49,IF($A62-$D$7&lt;=5,Premissas!$B$50,IF($A62-$D$7&lt;=8,Premissas!$B$51,$G$7)))+IF($A62=1+$D$7,Premissas!$B$55,IF($A62=3+$D$7,Premissas!$B$56,IF($A62=6+$D$7,Premissas!$B$57,0))))</f>
        <v>-56223.887394374666</v>
      </c>
      <c r="M62" s="77">
        <f>K62+L62</f>
        <v>62165.269544970484</v>
      </c>
      <c r="N62" s="77">
        <f>N61+M62</f>
        <v>248337.1643449609</v>
      </c>
      <c r="O62" s="78">
        <f>IF(M62&gt;0,$A62,9999)</f>
        <v>21.0</v>
      </c>
      <c r="P62" s="78">
        <f>IF(N62&gt;0,$A62,9999)</f>
        <v>21.0</v>
      </c>
      <c r="Q62" s="76">
        <f>IF($A62-$D$8&lt;Premissas!$B$41,0,$C$8*(Premissas!$B$39+(Premissas!$B$40-Premissas!$B$39)*$A62/36)/(1+EXP(-$K$8*($A62-$D$8-$I$8))))</f>
        <v>494.4889941553853</v>
      </c>
      <c r="R62" s="77">
        <f>(Q62*$B$8+IF($A62&gt;=Premissas!$B$46+$D$8,$F$8,0))*(1-$E$8)*(1-Premissas!$B$60)</f>
        <v>157852.2092524602</v>
      </c>
      <c r="S62" s="77">
        <f>-(Q62*$J$8+MAX(0,Q62-Q61)*$H$8+IF($A62-$D$8&lt;=2,Premissas!$B$49,IF($A62-$D$8&lt;=5,Premissas!$B$50,IF($A62-$D$8&lt;=8,Premissas!$B$51,$G$8)))+IF($A62=1+$D$8,Premissas!$B$55,IF($A62=3+$D$8,Premissas!$B$56,IF($A62=6+$D$8,Premissas!$B$57,0))))</f>
        <v>-56223.887394374666</v>
      </c>
      <c r="T62" s="77">
        <f>R62+S62</f>
        <v>101628.32185808552</v>
      </c>
      <c r="U62" s="77">
        <f>U61+T62</f>
        <v>617391.2419879874</v>
      </c>
      <c r="V62" s="78">
        <f>IF(T62&gt;0,$A62,9999)</f>
        <v>21.0</v>
      </c>
      <c r="W62" s="78">
        <f>IF(U62&gt;0,$A62,9999)</f>
        <v>21.0</v>
      </c>
      <c r="X62" s="76">
        <f>IF($A62-$D$9&lt;Premissas!$B$41,0,$C$9*(Premissas!$B$39+(Premissas!$B$40-Premissas!$B$39)*$A62/36)/(1+EXP(-$K$9*($A62-$D$9-$I$9))))</f>
        <v>494.4889941553853</v>
      </c>
      <c r="Y62" s="77">
        <f>(X62*$B$9+IF($A62&gt;=Premissas!$B$46+$D$9,$F$9,0))*(1-$E$9)*(1-Premissas!$B$60)</f>
        <v>126281.76740196816</v>
      </c>
      <c r="Z62" s="77">
        <f>-(X62*$J$9+MAX(0,X62-X61)*$H$9+IF($A62-$D$9&lt;=2,Premissas!$B$49,IF($A62-$D$9&lt;=5,Premissas!$B$50,IF($A62-$D$9&lt;=8,Premissas!$B$51,$G$9)))+IF($A62=1+$D$9,Premissas!$B$55,IF($A62=3+$D$9,Premissas!$B$56,IF($A62=6+$D$9,Premissas!$B$57,0))))</f>
        <v>-56223.887394374666</v>
      </c>
      <c r="AA62" s="77">
        <f>Y62+Z62</f>
        <v>70057.88000759349</v>
      </c>
      <c r="AB62" s="77">
        <f>AB61+AA62</f>
        <v>322147.9798735663</v>
      </c>
      <c r="AC62" s="78">
        <f>IF(AA62&gt;0,$A62,9999)</f>
        <v>21.0</v>
      </c>
      <c r="AD62" s="78">
        <f>IF(AB62&gt;0,$A62,9999)</f>
        <v>21.0</v>
      </c>
      <c r="AE62" s="76">
        <f>IF($A62-$D$10&lt;Premissas!$B$41,0,$C$10*(Premissas!$B$39+(Premissas!$B$40-Premissas!$B$39)*$A62/36)/(1+EXP(-$K$10*($A62-$D$10-$I$10))))</f>
        <v>494.4889941553853</v>
      </c>
      <c r="AF62" s="77">
        <f>(AE62*$B$10+IF($A62&gt;=Premissas!$B$46+$D$10,$F$10,0))*(1-$E$10)*(1-Premissas!$B$60)</f>
        <v>110496.54647672213</v>
      </c>
      <c r="AG62" s="77">
        <f>-(AE62*$J$10+MAX(0,AE62-AE61)*$H$10+IF($A62-$D$10&lt;=2,Premissas!$B$49,IF($A62-$D$10&lt;=5,Premissas!$B$50,IF($A62-$D$10&lt;=8,Premissas!$B$51,$G$10)))+IF($A62=1+$D$10,Premissas!$B$55,IF($A62=3+$D$10,Premissas!$B$56,IF($A62=6+$D$10,Premissas!$B$57,0))))</f>
        <v>-56223.887394374666</v>
      </c>
      <c r="AH62" s="77">
        <f>AF62+AG62</f>
        <v>54272.65908234746</v>
      </c>
      <c r="AI62" s="77">
        <f>AI61+AH62</f>
        <v>174526.34881635554</v>
      </c>
      <c r="AJ62" s="78">
        <f>IF(AH62&gt;0,$A62,9999)</f>
        <v>21.0</v>
      </c>
      <c r="AK62" s="78">
        <f>IF(AI62&gt;0,$A62,9999)</f>
        <v>21.0</v>
      </c>
      <c r="AL62" s="76">
        <f>IF($A62-$D$11&lt;Premissas!$B$41,0,$C$11*(Premissas!$B$39+(Premissas!$B$40-Premissas!$B$39)*$A62/36)/(1+EXP(-$K$11*($A62-$D$11-$I$11))))</f>
        <v>494.4889941553853</v>
      </c>
      <c r="AM62" s="77">
        <f>(AL62*$B$11+IF($A62&gt;=Premissas!$B$46+$D$11,$F$11,0))*(1-$E$11)*(1-Premissas!$B$60)</f>
        <v>94711.32555147611</v>
      </c>
      <c r="AN62" s="77">
        <f>-(AL62*$J$11+MAX(0,AL62-AL61)*$H$11+IF($A62-$D$11&lt;=2,Premissas!$B$49,IF($A62-$D$11&lt;=5,Premissas!$B$50,IF($A62-$D$11&lt;=8,Premissas!$B$51,$G$11)))+IF($A62=1+$D$11,Premissas!$B$55,IF($A62=3+$D$11,Premissas!$B$56,IF($A62=6+$D$11,Premissas!$B$57,0))))</f>
        <v>-56223.887394374666</v>
      </c>
      <c r="AO62" s="77">
        <f>AM62+AN62</f>
        <v>38487.438157101446</v>
      </c>
      <c r="AP62" s="77">
        <f>AP61+AO62</f>
        <v>26904.71775914495</v>
      </c>
      <c r="AQ62" s="78">
        <f>IF(AO62&gt;0,$A62,9999)</f>
        <v>21.0</v>
      </c>
      <c r="AR62" s="78">
        <f>IF(AP62&gt;0,$A62,9999)</f>
        <v>21.0</v>
      </c>
      <c r="AS62" s="76">
        <f>IF($A62-$D$12&lt;Premissas!$B$41,0,$C$12*(Premissas!$B$39+(Premissas!$B$40-Premissas!$B$39)*$A62/36)/(1+EXP(-$K$12*($A62-$D$12-$I$12))))</f>
        <v>494.4889941553853</v>
      </c>
      <c r="AT62" s="77">
        <f>(AS62*$B$12+IF($A62&gt;=Premissas!$B$46+$D$12,$F$12,0))*(1-$E$12)*(1-Premissas!$B$60)</f>
        <v>99845.81965851822</v>
      </c>
      <c r="AU62" s="77">
        <f>-(AS62*$J$12+MAX(0,AS62-AS61)*$H$12+IF($A62-$D$12&lt;=2,Premissas!$B$49,IF($A62-$D$12&lt;=5,Premissas!$B$50,IF($A62-$D$12&lt;=8,Premissas!$B$51,$G$12)))+IF($A62=1+$D$12,Premissas!$B$55,IF($A62=3+$D$12,Premissas!$B$56,IF($A62=6+$D$12,Premissas!$B$57,0))))</f>
        <v>-56223.887394374666</v>
      </c>
      <c r="AV62" s="77">
        <f>AT62+AU62</f>
        <v>43621.93226414355</v>
      </c>
      <c r="AW62" s="77">
        <f>AW61+AV62</f>
        <v>79497.32606250618</v>
      </c>
      <c r="AX62" s="78">
        <f>IF(AV62&gt;0,$A62,9999)</f>
        <v>21.0</v>
      </c>
      <c r="AY62" s="78">
        <f>IF(AW62&gt;0,$A62,9999)</f>
        <v>21.0</v>
      </c>
      <c r="AZ62" s="76">
        <f>IF($A62-$D$13&lt;Premissas!$B$41,0,$C$13*(Premissas!$B$39+(Premissas!$B$40-Premissas!$B$39)*$A62/36)/(1+EXP(-$K$13*($A62-$D$13-$I$13))))</f>
        <v>399.5299248203943</v>
      </c>
      <c r="BA62" s="77">
        <f>(AZ62*$B$13+IF($A62&gt;=Premissas!$B$46+$D$13,$F$13,0))*(1-$E$13)*(1-Premissas!$B$60)</f>
        <v>97094.58564097341</v>
      </c>
      <c r="BB62" s="77">
        <f>-(AZ62*$J$13+MAX(0,AZ62-AZ61)*$H$13+IF($A62-$D$13&lt;=2,Premissas!$B$49,IF($A62-$D$13&lt;=5,Premissas!$B$50,IF($A62-$D$13&lt;=8,Premissas!$B$51,$G$13)))+IF($A62=1+$D$13,Premissas!$B$55,IF($A62=3+$D$13,Premissas!$B$56,IF($A62=6+$D$13,Premissas!$B$57,0))))</f>
        <v>-54031.20209525132</v>
      </c>
      <c r="BC62" s="77">
        <f>BA62+BB62</f>
        <v>43063.38354572209</v>
      </c>
      <c r="BD62" s="77">
        <f>BD61+BC62</f>
        <v>-97471.05852435922</v>
      </c>
      <c r="BE62" s="78">
        <f>IF(BC62&gt;0,$A62,9999)</f>
        <v>21.0</v>
      </c>
      <c r="BF62" s="78">
        <f>IF(BD62&gt;0,$A62,9999)</f>
        <v>9999.0</v>
      </c>
      <c r="BG62" s="76">
        <f>IF($A62-$D$14&lt;Premissas!$B$41,0,$C$14*(Premissas!$B$39+(Premissas!$B$40-Premissas!$B$39)*$A62/36)/(1+EXP(-$K$14*($A62-$D$14-$I$14))))</f>
        <v>494.4889941553853</v>
      </c>
      <c r="BH62" s="77">
        <f>(BG62*$B$14+IF($A62&gt;=Premissas!$B$46+$D$14,$F$14,0))*(1-$E$14)*(1-Premissas!$B$60)</f>
        <v>118389.15693934515</v>
      </c>
      <c r="BI62" s="77">
        <f>-(BG62*$J$14+MAX(0,BG62-BG61)*$H$14+IF($A62-$D$14&lt;=2,Premissas!$B$49,IF($A62-$D$14&lt;=5,Premissas!$B$50,IF($A62-$D$14&lt;=8,Premissas!$B$51,$G$14)))+IF($A62=1+$D$14,Premissas!$B$55,IF($A62=3+$D$14,Premissas!$B$56,IF($A62=6+$D$14,Premissas!$B$57,0))))</f>
        <v>-46223.887394374666</v>
      </c>
      <c r="BJ62" s="77">
        <f>BH62+BI62</f>
        <v>72165.26954497048</v>
      </c>
      <c r="BK62" s="77">
        <f>BK61+BJ62</f>
        <v>378337.1643449609</v>
      </c>
      <c r="BL62" s="78">
        <f>IF(BJ62&gt;0,$A62,9999)</f>
        <v>21.0</v>
      </c>
      <c r="BM62" s="78">
        <f>IF(BK62&gt;0,$A62,9999)</f>
        <v>21.0</v>
      </c>
      <c r="BN62" s="76">
        <f>IF($A62-$D$15&lt;Premissas!$B$41,0,$C$15*(Premissas!$B$39+(Premissas!$B$40-Premissas!$B$39)*$A62/36)/(1+EXP(-$K$15*($A62-$D$15-$I$15))))</f>
        <v>143.20249768299828</v>
      </c>
      <c r="BO62" s="77">
        <f>(BN62*$B$15+IF($A62&gt;=Premissas!$B$46+$D$15,$F$15,0))*(1-$E$15)*(1-Premissas!$B$60)</f>
        <v>55681.596760876455</v>
      </c>
      <c r="BP62" s="77">
        <f>-(BN62*$J$15+MAX(0,BN62-BN61)*$H$15+IF($A62-$D$15&lt;=2,Premissas!$B$49,IF($A62-$D$15&lt;=5,Premissas!$B$50,IF($A62-$D$15&lt;=8,Premissas!$B$51,$G$15)))+IF($A62=1+$D$15,Premissas!$B$55,IF($A62=3+$D$15,Premissas!$B$56,IF($A62=6+$D$15,Premissas!$B$57,0))))</f>
        <v>-45334.21628038292</v>
      </c>
      <c r="BQ62" s="77">
        <f>BO62+BP62</f>
        <v>10347.380480493535</v>
      </c>
      <c r="BR62" s="77">
        <f>BR61+BQ62</f>
        <v>-306496.8258110783</v>
      </c>
      <c r="BS62" s="78">
        <f>IF(BQ62&gt;0,$A62,9999)</f>
        <v>21.0</v>
      </c>
      <c r="BT62" s="78">
        <f>IF(BR62&gt;0,$A62,9999)</f>
        <v>9999.0</v>
      </c>
      <c r="BU62" s="76">
        <f>IF($A62-$D$16&lt;Premissas!$B$41,0,$C$16*(Premissas!$B$39+(Premissas!$B$40-Premissas!$B$39)*$A62/36)/(1+EXP(-$K$16*($A62-$D$16-$I$16))))</f>
        <v>286.40499536599657</v>
      </c>
      <c r="BV62" s="77">
        <f>(BU62*$B$16+IF($A62&gt;=Premissas!$B$46+$D$16,$F$16,0))*(1-$E$16)*(1-Premissas!$B$60)</f>
        <v>65886.07578913939</v>
      </c>
      <c r="BW62" s="77">
        <f>-(BU62*$J$16+MAX(0,BU62-BU61)*$H$16+IF($A62-$D$16&lt;=2,Premissas!$B$49,IF($A62-$D$16&lt;=5,Premissas!$B$50,IF($A62-$D$16&lt;=8,Premissas!$B$51,$G$16)))+IF($A62=1+$D$16,Premissas!$B$55,IF($A62=3+$D$16,Premissas!$B$56,IF($A62=6+$D$16,Premissas!$B$57,0))))</f>
        <v>-55668.43256076584</v>
      </c>
      <c r="BX62" s="77">
        <f>BV62+BW62</f>
        <v>10217.643228373548</v>
      </c>
      <c r="BY62" s="77">
        <f>BY61+BX62</f>
        <v>-360098.05267847644</v>
      </c>
      <c r="BZ62" s="78">
        <f>IF(BX62&gt;0,$A62,9999)</f>
        <v>21.0</v>
      </c>
      <c r="CA62" s="78">
        <f>IF(BY62&gt;0,$A62,9999)</f>
        <v>9999.0</v>
      </c>
      <c r="CB62" s="76">
        <f>IF($A62-$D$17&lt;Premissas!$B$41,0,$C$17*(Premissas!$B$39+(Premissas!$B$40-Premissas!$B$39)*$A62/36)/(1+EXP(-$K$17*($A62-$D$17-$I$17))))</f>
        <v>72.40443105985639</v>
      </c>
      <c r="CC62" s="77">
        <f>(CB62*$B$17+IF($A62&gt;=Premissas!$B$46+$D$17,$F$17,0))*(1-$E$17)*(1-Premissas!$B$60)</f>
        <v>21513.058780261224</v>
      </c>
      <c r="CD62" s="77">
        <f>-(CB62*$J$17+MAX(0,CB62-CB61)*$H$17+IF($A62-$D$17&lt;=2,Premissas!$B$49,IF($A62-$D$17&lt;=5,Premissas!$B$50,IF($A62-$D$17&lt;=8,Premissas!$B$51,$G$17)))+IF($A62=1+$D$17,Premissas!$B$55,IF($A62=3+$D$17,Premissas!$B$56,IF($A62=6+$D$17,Premissas!$B$57,0))))</f>
        <v>-43661.88240247528</v>
      </c>
      <c r="CE62" s="77">
        <f>CC62+CD62</f>
        <v>-22148.82362221406</v>
      </c>
      <c r="CF62" s="77">
        <f>CF61+CE62</f>
        <v>-399880.38563393813</v>
      </c>
      <c r="CG62" s="78">
        <f>IF(CE62&gt;0,$A62,9999)</f>
        <v>9999.0</v>
      </c>
      <c r="CH62" s="78">
        <f>IF(CF62&gt;0,$A62,9999)</f>
        <v>9999.0</v>
      </c>
    </row>
    <row r="63">
      <c r="A63" s="14" t="n">
        <v>22</v>
      </c>
      <c r="C63" s="76">
        <f>IF($A63-$D$6&lt;Premissas!$B$41,0,$C$6*(Premissas!$B$39+(Premissas!$B$40-Premissas!$B$39)*$A63/36)/(1+EXP(-$K$6*($A63-$D$6-$I$6))))</f>
        <v>302.8767197700616</v>
      </c>
      <c r="D63" s="77">
        <f>(C63*$B$6+IF($A63&gt;=Premissas!$B$46+$D$6,$F$6,0))*(1-$E$6)*(1-Premissas!$B$60)</f>
        <v>106617.67360664965</v>
      </c>
      <c r="E63" s="77">
        <f>-(C63*$J$6+MAX(0,C63-C62)*$H$6+IF($A63-$D$6&lt;=2,Premissas!$B$49,IF($A63-$D$6&lt;=5,Premissas!$B$50,IF($A63-$D$6&lt;=8,Premissas!$B$51,$G$6)))+IF($A63=1+$D$6,Premissas!$B$55,IF($A63=3+$D$6,Premissas!$B$56,IF($A63=6+$D$6,Premissas!$B$57,0))))</f>
        <v>-55218.14215127878</v>
      </c>
      <c r="F63" s="77">
        <f>D63+E63</f>
        <v>51399.531455370874</v>
      </c>
      <c r="G63" s="77">
        <f>G62+F63</f>
        <v>-46594.12016678562</v>
      </c>
      <c r="H63" s="78">
        <f>IF(F63&gt;0,$A63,9999)</f>
        <v>22.0</v>
      </c>
      <c r="I63" s="78">
        <f>IF(G63&gt;0,$A63,9999)</f>
        <v>9999.0</v>
      </c>
      <c r="J63" s="76">
        <f>IF($A63-$D$7&lt;Premissas!$B$41,0,$C$7*(Premissas!$B$39+(Premissas!$B$40-Premissas!$B$39)*$A63/36)/(1+EXP(-$K$7*($A63-$D$7-$I$7))))</f>
        <v>501.98731356030595</v>
      </c>
      <c r="K63" s="77">
        <f>(J63*$B$7+IF($A63&gt;=Premissas!$B$46+$D$7,$F$7,0))*(1-$E$7)*(1-Premissas!$B$60)</f>
        <v>120070.65506589861</v>
      </c>
      <c r="L63" s="77">
        <f>-(J63*$J$7+MAX(0,J63-J62)*$H$7+IF($A63-$D$7&lt;=2,Premissas!$B$49,IF($A63-$D$7&lt;=5,Premissas!$B$50,IF($A63-$D$7&lt;=8,Premissas!$B$51,$G$7)))+IF($A63=1+$D$7,Premissas!$B$55,IF($A63=3+$D$7,Premissas!$B$56,IF($A63=6+$D$7,Premissas!$B$57,0))))</f>
        <v>-56458.38313977889</v>
      </c>
      <c r="M63" s="77">
        <f>K63+L63</f>
        <v>63612.27192611972</v>
      </c>
      <c r="N63" s="77">
        <f>N62+M63</f>
        <v>311949.43627108063</v>
      </c>
      <c r="O63" s="78">
        <f>IF(M63&gt;0,$A63,9999)</f>
        <v>22.0</v>
      </c>
      <c r="P63" s="78">
        <f>IF(N63&gt;0,$A63,9999)</f>
        <v>22.0</v>
      </c>
      <c r="Q63" s="76">
        <f>IF($A63-$D$8&lt;Premissas!$B$41,0,$C$8*(Premissas!$B$39+(Premissas!$B$40-Premissas!$B$39)*$A63/36)/(1+EXP(-$K$8*($A63-$D$8-$I$8))))</f>
        <v>501.98731356030595</v>
      </c>
      <c r="R63" s="77">
        <f>(Q63*$B$8+IF($A63&gt;=Premissas!$B$46+$D$8,$F$8,0))*(1-$E$8)*(1-Premissas!$B$60)</f>
        <v>160094.20675453148</v>
      </c>
      <c r="S63" s="77">
        <f>-(Q63*$J$8+MAX(0,Q63-Q62)*$H$8+IF($A63-$D$8&lt;=2,Premissas!$B$49,IF($A63-$D$8&lt;=5,Premissas!$B$50,IF($A63-$D$8&lt;=8,Premissas!$B$51,$G$8)))+IF($A63=1+$D$8,Premissas!$B$55,IF($A63=3+$D$8,Premissas!$B$56,IF($A63=6+$D$8,Premissas!$B$57,0))))</f>
        <v>-56458.38313977889</v>
      </c>
      <c r="T63" s="77">
        <f>R63+S63</f>
        <v>103635.82361475259</v>
      </c>
      <c r="U63" s="77">
        <f>U62+T63</f>
        <v>721027.06560274</v>
      </c>
      <c r="V63" s="78">
        <f>IF(T63&gt;0,$A63,9999)</f>
        <v>22.0</v>
      </c>
      <c r="W63" s="78">
        <f>IF(U63&gt;0,$A63,9999)</f>
        <v>22.0</v>
      </c>
      <c r="X63" s="76">
        <f>IF($A63-$D$9&lt;Premissas!$B$41,0,$C$9*(Premissas!$B$39+(Premissas!$B$40-Premissas!$B$39)*$A63/36)/(1+EXP(-$K$9*($A63-$D$9-$I$9))))</f>
        <v>501.98731356030595</v>
      </c>
      <c r="Y63" s="77">
        <f>(X63*$B$9+IF($A63&gt;=Premissas!$B$46+$D$9,$F$9,0))*(1-$E$9)*(1-Premissas!$B$60)</f>
        <v>128075.36540362518</v>
      </c>
      <c r="Z63" s="77">
        <f>-(X63*$J$9+MAX(0,X63-X62)*$H$9+IF($A63-$D$9&lt;=2,Premissas!$B$49,IF($A63-$D$9&lt;=5,Premissas!$B$50,IF($A63-$D$9&lt;=8,Premissas!$B$51,$G$9)))+IF($A63=1+$D$9,Premissas!$B$55,IF($A63=3+$D$9,Premissas!$B$56,IF($A63=6+$D$9,Premissas!$B$57,0))))</f>
        <v>-56458.38313977889</v>
      </c>
      <c r="AA63" s="77">
        <f>Y63+Z63</f>
        <v>71616.9822638463</v>
      </c>
      <c r="AB63" s="77">
        <f>AB62+AA63</f>
        <v>393764.9621374126</v>
      </c>
      <c r="AC63" s="78">
        <f>IF(AA63&gt;0,$A63,9999)</f>
        <v>22.0</v>
      </c>
      <c r="AD63" s="78">
        <f>IF(AB63&gt;0,$A63,9999)</f>
        <v>22.0</v>
      </c>
      <c r="AE63" s="76">
        <f>IF($A63-$D$10&lt;Premissas!$B$41,0,$C$10*(Premissas!$B$39+(Premissas!$B$40-Premissas!$B$39)*$A63/36)/(1+EXP(-$K$10*($A63-$D$10-$I$10))))</f>
        <v>501.98731356030595</v>
      </c>
      <c r="AF63" s="77">
        <f>(AE63*$B$10+IF($A63&gt;=Premissas!$B$46+$D$10,$F$10,0))*(1-$E$10)*(1-Premissas!$B$60)</f>
        <v>112065.94472817203</v>
      </c>
      <c r="AG63" s="77">
        <f>-(AE63*$J$10+MAX(0,AE63-AE62)*$H$10+IF($A63-$D$10&lt;=2,Premissas!$B$49,IF($A63-$D$10&lt;=5,Premissas!$B$50,IF($A63-$D$10&lt;=8,Premissas!$B$51,$G$10)))+IF($A63=1+$D$10,Premissas!$B$55,IF($A63=3+$D$10,Premissas!$B$56,IF($A63=6+$D$10,Premissas!$B$57,0))))</f>
        <v>-56458.38313977889</v>
      </c>
      <c r="AH63" s="77">
        <f>AF63+AG63</f>
        <v>55607.561588393146</v>
      </c>
      <c r="AI63" s="77">
        <f>AI62+AH63</f>
        <v>230133.9104047487</v>
      </c>
      <c r="AJ63" s="78">
        <f>IF(AH63&gt;0,$A63,9999)</f>
        <v>22.0</v>
      </c>
      <c r="AK63" s="78">
        <f>IF(AI63&gt;0,$A63,9999)</f>
        <v>22.0</v>
      </c>
      <c r="AL63" s="76">
        <f>IF($A63-$D$11&lt;Premissas!$B$41,0,$C$11*(Premissas!$B$39+(Premissas!$B$40-Premissas!$B$39)*$A63/36)/(1+EXP(-$K$11*($A63-$D$11-$I$11))))</f>
        <v>501.98731356030595</v>
      </c>
      <c r="AM63" s="77">
        <f>(AL63*$B$11+IF($A63&gt;=Premissas!$B$46+$D$11,$F$11,0))*(1-$E$11)*(1-Premissas!$B$60)</f>
        <v>96056.52405271889</v>
      </c>
      <c r="AN63" s="77">
        <f>-(AL63*$J$11+MAX(0,AL63-AL62)*$H$11+IF($A63-$D$11&lt;=2,Premissas!$B$49,IF($A63-$D$11&lt;=5,Premissas!$B$50,IF($A63-$D$11&lt;=8,Premissas!$B$51,$G$11)))+IF($A63=1+$D$11,Premissas!$B$55,IF($A63=3+$D$11,Premissas!$B$56,IF($A63=6+$D$11,Premissas!$B$57,0))))</f>
        <v>-56458.38313977889</v>
      </c>
      <c r="AO63" s="77">
        <f>AM63+AN63</f>
        <v>39598.14091294</v>
      </c>
      <c r="AP63" s="77">
        <f>AP62+AO63</f>
        <v>66502.85867208496</v>
      </c>
      <c r="AQ63" s="78">
        <f>IF(AO63&gt;0,$A63,9999)</f>
        <v>22.0</v>
      </c>
      <c r="AR63" s="78">
        <f>IF(AP63&gt;0,$A63,9999)</f>
        <v>22.0</v>
      </c>
      <c r="AS63" s="76">
        <f>IF($A63-$D$12&lt;Premissas!$B$41,0,$C$12*(Premissas!$B$39+(Premissas!$B$40-Premissas!$B$39)*$A63/36)/(1+EXP(-$K$12*($A63-$D$12-$I$12))))</f>
        <v>501.98731356030595</v>
      </c>
      <c r="AT63" s="77">
        <f>(AS63*$B$12+IF($A63&gt;=Premissas!$B$46+$D$12,$F$12,0))*(1-$E$12)*(1-Premissas!$B$60)</f>
        <v>101246.13080738715</v>
      </c>
      <c r="AU63" s="77">
        <f>-(AS63*$J$12+MAX(0,AS63-AS62)*$H$12+IF($A63-$D$12&lt;=2,Premissas!$B$49,IF($A63-$D$12&lt;=5,Premissas!$B$50,IF($A63-$D$12&lt;=8,Premissas!$B$51,$G$12)))+IF($A63=1+$D$12,Premissas!$B$55,IF($A63=3+$D$12,Premissas!$B$56,IF($A63=6+$D$12,Premissas!$B$57,0))))</f>
        <v>-56458.38313977889</v>
      </c>
      <c r="AV63" s="77">
        <f>AT63+AU63</f>
        <v>44787.74766760826</v>
      </c>
      <c r="AW63" s="77">
        <f>AW62+AV63</f>
        <v>124285.07373011444</v>
      </c>
      <c r="AX63" s="78">
        <f>IF(AV63&gt;0,$A63,9999)</f>
        <v>22.0</v>
      </c>
      <c r="AY63" s="78">
        <f>IF(AW63&gt;0,$A63,9999)</f>
        <v>22.0</v>
      </c>
      <c r="AZ63" s="76">
        <f>IF($A63-$D$13&lt;Premissas!$B$41,0,$C$13*(Premissas!$B$39+(Premissas!$B$40-Premissas!$B$39)*$A63/36)/(1+EXP(-$K$13*($A63-$D$13-$I$13))))</f>
        <v>435.5654107449672</v>
      </c>
      <c r="BA63" s="77">
        <f>(AZ63*$B$13+IF($A63&gt;=Premissas!$B$46+$D$13,$F$13,0))*(1-$E$13)*(1-Premissas!$B$60)</f>
        <v>105175.54335955891</v>
      </c>
      <c r="BB63" s="77">
        <f>-(AZ63*$J$13+MAX(0,AZ63-AZ62)*$H$13+IF($A63-$D$13&lt;=2,Premissas!$B$49,IF($A63-$D$13&lt;=5,Premissas!$B$50,IF($A63-$D$13&lt;=8,Premissas!$B$51,$G$13)))+IF($A63=1+$D$13,Premissas!$B$55,IF($A63=3+$D$13,Premissas!$B$56,IF($A63=6+$D$13,Premissas!$B$57,0))))</f>
        <v>-55095.52154751727</v>
      </c>
      <c r="BC63" s="77">
        <f>BA63+BB63</f>
        <v>50080.02181204164</v>
      </c>
      <c r="BD63" s="77">
        <f>BD62+BC63</f>
        <v>-47391.03671231758</v>
      </c>
      <c r="BE63" s="78">
        <f>IF(BC63&gt;0,$A63,9999)</f>
        <v>22.0</v>
      </c>
      <c r="BF63" s="78">
        <f>IF(BD63&gt;0,$A63,9999)</f>
        <v>9999.0</v>
      </c>
      <c r="BG63" s="76">
        <f>IF($A63-$D$14&lt;Premissas!$B$41,0,$C$14*(Premissas!$B$39+(Premissas!$B$40-Premissas!$B$39)*$A63/36)/(1+EXP(-$K$14*($A63-$D$14-$I$14))))</f>
        <v>501.98731356030595</v>
      </c>
      <c r="BH63" s="77">
        <f>(BG63*$B$14+IF($A63&gt;=Premissas!$B$46+$D$14,$F$14,0))*(1-$E$14)*(1-Premissas!$B$60)</f>
        <v>120070.65506589861</v>
      </c>
      <c r="BI63" s="77">
        <f>-(BG63*$J$14+MAX(0,BG63-BG62)*$H$14+IF($A63-$D$14&lt;=2,Premissas!$B$49,IF($A63-$D$14&lt;=5,Premissas!$B$50,IF($A63-$D$14&lt;=8,Premissas!$B$51,$G$14)))+IF($A63=1+$D$14,Premissas!$B$55,IF($A63=3+$D$14,Premissas!$B$56,IF($A63=6+$D$14,Premissas!$B$57,0))))</f>
        <v>-46458.38313977889</v>
      </c>
      <c r="BJ63" s="77">
        <f>BH63+BI63</f>
        <v>73612.27192611972</v>
      </c>
      <c r="BK63" s="77">
        <f>BK62+BJ63</f>
        <v>451949.43627108063</v>
      </c>
      <c r="BL63" s="78">
        <f>IF(BJ63&gt;0,$A63,9999)</f>
        <v>22.0</v>
      </c>
      <c r="BM63" s="78">
        <f>IF(BK63&gt;0,$A63,9999)</f>
        <v>22.0</v>
      </c>
      <c r="BN63" s="76">
        <f>IF($A63-$D$15&lt;Premissas!$B$41,0,$C$15*(Premissas!$B$39+(Premissas!$B$40-Premissas!$B$39)*$A63/36)/(1+EXP(-$K$15*($A63-$D$15-$I$15))))</f>
        <v>151.4383598850308</v>
      </c>
      <c r="BO63" s="77">
        <f>(BN63*$B$15+IF($A63&gt;=Premissas!$B$46+$D$15,$F$15,0))*(1-$E$15)*(1-Premissas!$B$60)</f>
        <v>58308.836803324826</v>
      </c>
      <c r="BP63" s="77">
        <f>-(BN63*$J$15+MAX(0,BN63-BN62)*$H$15+IF($A63-$D$15&lt;=2,Premissas!$B$49,IF($A63-$D$15&lt;=5,Premissas!$B$50,IF($A63-$D$15&lt;=8,Premissas!$B$51,$G$15)))+IF($A63=1+$D$15,Premissas!$B$55,IF($A63=3+$D$15,Premissas!$B$56,IF($A63=6+$D$15,Premissas!$B$57,0))))</f>
        <v>-45109.07107563939</v>
      </c>
      <c r="BQ63" s="77">
        <f>BO63+BP63</f>
        <v>13199.765727685437</v>
      </c>
      <c r="BR63" s="77">
        <f>BR62+BQ63</f>
        <v>-293297.0600833929</v>
      </c>
      <c r="BS63" s="78">
        <f>IF(BQ63&gt;0,$A63,9999)</f>
        <v>22.0</v>
      </c>
      <c r="BT63" s="78">
        <f>IF(BR63&gt;0,$A63,9999)</f>
        <v>9999.0</v>
      </c>
      <c r="BU63" s="76">
        <f>IF($A63-$D$16&lt;Premissas!$B$41,0,$C$16*(Premissas!$B$39+(Premissas!$B$40-Premissas!$B$39)*$A63/36)/(1+EXP(-$K$16*($A63-$D$16-$I$16))))</f>
        <v>302.8767197700616</v>
      </c>
      <c r="BV63" s="77">
        <f>(BU63*$B$16+IF($A63&gt;=Premissas!$B$46+$D$16,$F$16,0))*(1-$E$16)*(1-Premissas!$B$60)</f>
        <v>69301.48784432227</v>
      </c>
      <c r="BW63" s="77">
        <f>-(BU63*$J$16+MAX(0,BU63-BU62)*$H$16+IF($A63-$D$16&lt;=2,Premissas!$B$49,IF($A63-$D$16&lt;=5,Premissas!$B$50,IF($A63-$D$16&lt;=8,Premissas!$B$51,$G$16)))+IF($A63=1+$D$16,Premissas!$B$55,IF($A63=3+$D$16,Premissas!$B$56,IF($A63=6+$D$16,Premissas!$B$57,0))))</f>
        <v>-55218.14215127878</v>
      </c>
      <c r="BX63" s="77">
        <f>BV63+BW63</f>
        <v>14083.345693043491</v>
      </c>
      <c r="BY63" s="77">
        <f>BY62+BX63</f>
        <v>-346014.70698543295</v>
      </c>
      <c r="BZ63" s="78">
        <f>IF(BX63&gt;0,$A63,9999)</f>
        <v>22.0</v>
      </c>
      <c r="CA63" s="78">
        <f>IF(BY63&gt;0,$A63,9999)</f>
        <v>9999.0</v>
      </c>
      <c r="CB63" s="76">
        <f>IF($A63-$D$17&lt;Premissas!$B$41,0,$C$17*(Premissas!$B$39+(Premissas!$B$40-Premissas!$B$39)*$A63/36)/(1+EXP(-$K$17*($A63-$D$17-$I$17))))</f>
        <v>86.8201388888889</v>
      </c>
      <c r="CC63" s="77">
        <f>(CB63*$B$17+IF($A63&gt;=Premissas!$B$46+$D$17,$F$17,0))*(1-$E$17)*(1-Premissas!$B$60)</f>
        <v>24502.155798611115</v>
      </c>
      <c r="CD63" s="77">
        <f>-(CB63*$J$17+MAX(0,CB63-CB62)*$H$17+IF($A63-$D$17&lt;=2,Premissas!$B$49,IF($A63-$D$17&lt;=5,Premissas!$B$50,IF($A63-$D$17&lt;=8,Premissas!$B$51,$G$17)))+IF($A63=1+$D$17,Premissas!$B$55,IF($A63=3+$D$17,Premissas!$B$56,IF($A63=6+$D$17,Premissas!$B$57,0))))</f>
        <v>-44673.189381613</v>
      </c>
      <c r="CE63" s="77">
        <f>CC63+CD63</f>
        <v>-20171.03358300189</v>
      </c>
      <c r="CF63" s="77">
        <f>CF62+CE63</f>
        <v>-420051.41921694</v>
      </c>
      <c r="CG63" s="78">
        <f>IF(CE63&gt;0,$A63,9999)</f>
        <v>9999.0</v>
      </c>
      <c r="CH63" s="78">
        <f>IF(CF63&gt;0,$A63,9999)</f>
        <v>9999.0</v>
      </c>
    </row>
    <row r="64">
      <c r="A64" s="14" t="n">
        <v>23</v>
      </c>
      <c r="C64" s="76">
        <f>IF($A64-$D$6&lt;Premissas!$B$41,0,$C$6*(Premissas!$B$39+(Premissas!$B$40-Premissas!$B$39)*$A64/36)/(1+EXP(-$K$6*($A64-$D$6-$I$6))))</f>
        <v>316.6245666311619</v>
      </c>
      <c r="D64" s="77">
        <f>(C64*$B$6+IF($A64&gt;=Premissas!$B$46+$D$6,$F$6,0))*(1-$E$6)*(1-Premissas!$B$60)</f>
        <v>111003.23675534064</v>
      </c>
      <c r="E64" s="77">
        <f>-(C64*$J$6+MAX(0,C64-C63)*$H$6+IF($A64-$D$6&lt;=2,Premissas!$B$49,IF($A64-$D$6&lt;=5,Premissas!$B$50,IF($A64-$D$6&lt;=8,Premissas!$B$51,$G$6)))+IF($A64=1+$D$6,Premissas!$B$55,IF($A64=3+$D$6,Premissas!$B$56,IF($A64=6+$D$6,Premissas!$B$57,0))))</f>
        <v>-54747.244242842404</v>
      </c>
      <c r="F64" s="77">
        <f>D64+E64</f>
        <v>56255.99251249823</v>
      </c>
      <c r="G64" s="77">
        <f>G63+F64</f>
        <v>9661.87234571261</v>
      </c>
      <c r="H64" s="78">
        <f>IF(F64&gt;0,$A64,9999)</f>
        <v>23.0</v>
      </c>
      <c r="I64" s="78">
        <f>IF(G64&gt;0,$A64,9999)</f>
        <v>23.0</v>
      </c>
      <c r="J64" s="76">
        <f>IF($A64-$D$7&lt;Premissas!$B$41,0,$C$7*(Premissas!$B$39+(Premissas!$B$40-Premissas!$B$39)*$A64/36)/(1+EXP(-$K$7*($A64-$D$7-$I$7))))</f>
        <v>508.42224841694565</v>
      </c>
      <c r="K64" s="77">
        <f>(J64*$B$7+IF($A64&gt;=Premissas!$B$46+$D$7,$F$7,0))*(1-$E$7)*(1-Premissas!$B$60)</f>
        <v>121513.68920750007</v>
      </c>
      <c r="L64" s="77">
        <f>-(J64*$J$7+MAX(0,J64-J63)*$H$7+IF($A64-$D$7&lt;=2,Premissas!$B$49,IF($A64-$D$7&lt;=5,Premissas!$B$50,IF($A64-$D$7&lt;=8,Premissas!$B$51,$G$7)))+IF($A64=1+$D$7,Premissas!$B$55,IF($A64=3+$D$7,Premissas!$B$56,IF($A64=6+$D$7,Premissas!$B$57,0))))</f>
        <v>-56675.4811763437</v>
      </c>
      <c r="M64" s="77">
        <f>K64+L64</f>
        <v>64838.20803115636</v>
      </c>
      <c r="N64" s="77">
        <f>N63+M64</f>
        <v>376787.64430223696</v>
      </c>
      <c r="O64" s="78">
        <f>IF(M64&gt;0,$A64,9999)</f>
        <v>23.0</v>
      </c>
      <c r="P64" s="78">
        <f>IF(N64&gt;0,$A64,9999)</f>
        <v>23.0</v>
      </c>
      <c r="Q64" s="76">
        <f>IF($A64-$D$8&lt;Premissas!$B$41,0,$C$8*(Premissas!$B$39+(Premissas!$B$40-Premissas!$B$39)*$A64/36)/(1+EXP(-$K$8*($A64-$D$8-$I$8))))</f>
        <v>508.42224841694565</v>
      </c>
      <c r="R64" s="77">
        <f>(Q64*$B$8+IF($A64&gt;=Premissas!$B$46+$D$8,$F$8,0))*(1-$E$8)*(1-Premissas!$B$60)</f>
        <v>162018.25227666675</v>
      </c>
      <c r="S64" s="77">
        <f>-(Q64*$J$8+MAX(0,Q64-Q63)*$H$8+IF($A64-$D$8&lt;=2,Premissas!$B$49,IF($A64-$D$8&lt;=5,Premissas!$B$50,IF($A64-$D$8&lt;=8,Premissas!$B$51,$G$8)))+IF($A64=1+$D$8,Premissas!$B$55,IF($A64=3+$D$8,Premissas!$B$56,IF($A64=6+$D$8,Premissas!$B$57,0))))</f>
        <v>-56675.4811763437</v>
      </c>
      <c r="T64" s="77">
        <f>R64+S64</f>
        <v>105342.77110032305</v>
      </c>
      <c r="U64" s="77">
        <f>U63+T64</f>
        <v>826369.8367030631</v>
      </c>
      <c r="V64" s="78">
        <f>IF(T64&gt;0,$A64,9999)</f>
        <v>23.0</v>
      </c>
      <c r="W64" s="78">
        <f>IF(U64&gt;0,$A64,9999)</f>
        <v>23.0</v>
      </c>
      <c r="X64" s="76">
        <f>IF($A64-$D$9&lt;Premissas!$B$41,0,$C$9*(Premissas!$B$39+(Premissas!$B$40-Premissas!$B$39)*$A64/36)/(1+EXP(-$K$9*($A64-$D$9-$I$9))))</f>
        <v>508.42224841694565</v>
      </c>
      <c r="Y64" s="77">
        <f>(X64*$B$9+IF($A64&gt;=Premissas!$B$46+$D$9,$F$9,0))*(1-$E$9)*(1-Premissas!$B$60)</f>
        <v>129614.6018213334</v>
      </c>
      <c r="Z64" s="77">
        <f>-(X64*$J$9+MAX(0,X64-X63)*$H$9+IF($A64-$D$9&lt;=2,Premissas!$B$49,IF($A64-$D$9&lt;=5,Premissas!$B$50,IF($A64-$D$9&lt;=8,Premissas!$B$51,$G$9)))+IF($A64=1+$D$9,Premissas!$B$55,IF($A64=3+$D$9,Premissas!$B$56,IF($A64=6+$D$9,Premissas!$B$57,0))))</f>
        <v>-56675.4811763437</v>
      </c>
      <c r="AA64" s="77">
        <f>Y64+Z64</f>
        <v>72939.1206449897</v>
      </c>
      <c r="AB64" s="77">
        <f>AB63+AA64</f>
        <v>466704.08278240234</v>
      </c>
      <c r="AC64" s="78">
        <f>IF(AA64&gt;0,$A64,9999)</f>
        <v>23.0</v>
      </c>
      <c r="AD64" s="78">
        <f>IF(AB64&gt;0,$A64,9999)</f>
        <v>23.0</v>
      </c>
      <c r="AE64" s="76">
        <f>IF($A64-$D$10&lt;Premissas!$B$41,0,$C$10*(Premissas!$B$39+(Premissas!$B$40-Premissas!$B$39)*$A64/36)/(1+EXP(-$K$10*($A64-$D$10-$I$10))))</f>
        <v>508.42224841694565</v>
      </c>
      <c r="AF64" s="77">
        <f>(AE64*$B$10+IF($A64&gt;=Premissas!$B$46+$D$10,$F$10,0))*(1-$E$10)*(1-Premissas!$B$60)</f>
        <v>113412.77659366673</v>
      </c>
      <c r="AG64" s="77">
        <f>-(AE64*$J$10+MAX(0,AE64-AE63)*$H$10+IF($A64-$D$10&lt;=2,Premissas!$B$49,IF($A64-$D$10&lt;=5,Premissas!$B$50,IF($A64-$D$10&lt;=8,Premissas!$B$51,$G$10)))+IF($A64=1+$D$10,Premissas!$B$55,IF($A64=3+$D$10,Premissas!$B$56,IF($A64=6+$D$10,Premissas!$B$57,0))))</f>
        <v>-56675.4811763437</v>
      </c>
      <c r="AH64" s="77">
        <f>AF64+AG64</f>
        <v>56737.295417323025</v>
      </c>
      <c r="AI64" s="77">
        <f>AI63+AH64</f>
        <v>286871.2058220717</v>
      </c>
      <c r="AJ64" s="78">
        <f>IF(AH64&gt;0,$A64,9999)</f>
        <v>23.0</v>
      </c>
      <c r="AK64" s="78">
        <f>IF(AI64&gt;0,$A64,9999)</f>
        <v>23.0</v>
      </c>
      <c r="AL64" s="76">
        <f>IF($A64-$D$11&lt;Premissas!$B$41,0,$C$11*(Premissas!$B$39+(Premissas!$B$40-Premissas!$B$39)*$A64/36)/(1+EXP(-$K$11*($A64-$D$11-$I$11))))</f>
        <v>508.42224841694565</v>
      </c>
      <c r="AM64" s="77">
        <f>(AL64*$B$11+IF($A64&gt;=Premissas!$B$46+$D$11,$F$11,0))*(1-$E$11)*(1-Premissas!$B$60)</f>
        <v>97210.95136600005</v>
      </c>
      <c r="AN64" s="77">
        <f>-(AL64*$J$11+MAX(0,AL64-AL63)*$H$11+IF($A64-$D$11&lt;=2,Premissas!$B$49,IF($A64-$D$11&lt;=5,Premissas!$B$50,IF($A64-$D$11&lt;=8,Premissas!$B$51,$G$11)))+IF($A64=1+$D$11,Premissas!$B$55,IF($A64=3+$D$11,Premissas!$B$56,IF($A64=6+$D$11,Premissas!$B$57,0))))</f>
        <v>-56675.4811763437</v>
      </c>
      <c r="AO64" s="77">
        <f>AM64+AN64</f>
        <v>40535.47018965635</v>
      </c>
      <c r="AP64" s="77">
        <f>AP63+AO64</f>
        <v>107038.3288617413</v>
      </c>
      <c r="AQ64" s="78">
        <f>IF(AO64&gt;0,$A64,9999)</f>
        <v>23.0</v>
      </c>
      <c r="AR64" s="78">
        <f>IF(AP64&gt;0,$A64,9999)</f>
        <v>23.0</v>
      </c>
      <c r="AS64" s="76">
        <f>IF($A64-$D$12&lt;Premissas!$B$41,0,$C$12*(Premissas!$B$39+(Premissas!$B$40-Premissas!$B$39)*$A64/36)/(1+EXP(-$K$12*($A64-$D$12-$I$12))))</f>
        <v>508.42224841694565</v>
      </c>
      <c r="AT64" s="77">
        <f>(AS64*$B$12+IF($A64&gt;=Premissas!$B$46+$D$12,$F$12,0))*(1-$E$12)*(1-Premissas!$B$60)</f>
        <v>102447.8548918646</v>
      </c>
      <c r="AU64" s="77">
        <f>-(AS64*$J$12+MAX(0,AS64-AS63)*$H$12+IF($A64-$D$12&lt;=2,Premissas!$B$49,IF($A64-$D$12&lt;=5,Premissas!$B$50,IF($A64-$D$12&lt;=8,Premissas!$B$51,$G$12)))+IF($A64=1+$D$12,Premissas!$B$55,IF($A64=3+$D$12,Premissas!$B$56,IF($A64=6+$D$12,Premissas!$B$57,0))))</f>
        <v>-56675.4811763437</v>
      </c>
      <c r="AV64" s="77">
        <f>AT64+AU64</f>
        <v>45772.373715520895</v>
      </c>
      <c r="AW64" s="77">
        <f>AW63+AV64</f>
        <v>170057.44744563533</v>
      </c>
      <c r="AX64" s="78">
        <f>IF(AV64&gt;0,$A64,9999)</f>
        <v>23.0</v>
      </c>
      <c r="AY64" s="78">
        <f>IF(AW64&gt;0,$A64,9999)</f>
        <v>23.0</v>
      </c>
      <c r="AZ64" s="76">
        <f>IF($A64-$D$13&lt;Premissas!$B$41,0,$C$13*(Premissas!$B$39+(Premissas!$B$40-Premissas!$B$39)*$A64/36)/(1+EXP(-$K$13*($A64-$D$13-$I$13))))</f>
        <v>463.2024337759569</v>
      </c>
      <c r="BA64" s="77">
        <f>(AZ64*$B$13+IF($A64&gt;=Premissas!$B$46+$D$13,$F$13,0))*(1-$E$13)*(1-Premissas!$B$60)</f>
        <v>111373.14577425833</v>
      </c>
      <c r="BB64" s="77">
        <f>-(AZ64*$J$13+MAX(0,AZ64-AZ63)*$H$13+IF($A64-$D$13&lt;=2,Premissas!$B$49,IF($A64-$D$13&lt;=5,Premissas!$B$50,IF($A64-$D$13&lt;=8,Premissas!$B$51,$G$13)))+IF($A64=1+$D$13,Premissas!$B$55,IF($A64=3+$D$13,Premissas!$B$56,IF($A64=6+$D$13,Premissas!$B$57,0))))</f>
        <v>-55836.35337013967</v>
      </c>
      <c r="BC64" s="77">
        <f>BA64+BB64</f>
        <v>55536.79240411866</v>
      </c>
      <c r="BD64" s="77">
        <f>BD63+BC64</f>
        <v>8145.755691801081</v>
      </c>
      <c r="BE64" s="78">
        <f>IF(BC64&gt;0,$A64,9999)</f>
        <v>23.0</v>
      </c>
      <c r="BF64" s="78">
        <f>IF(BD64&gt;0,$A64,9999)</f>
        <v>23.0</v>
      </c>
      <c r="BG64" s="76">
        <f>IF($A64-$D$14&lt;Premissas!$B$41,0,$C$14*(Premissas!$B$39+(Premissas!$B$40-Premissas!$B$39)*$A64/36)/(1+EXP(-$K$14*($A64-$D$14-$I$14))))</f>
        <v>508.42224841694565</v>
      </c>
      <c r="BH64" s="77">
        <f>(BG64*$B$14+IF($A64&gt;=Premissas!$B$46+$D$14,$F$14,0))*(1-$E$14)*(1-Premissas!$B$60)</f>
        <v>121513.68920750007</v>
      </c>
      <c r="BI64" s="77">
        <f>-(BG64*$J$14+MAX(0,BG64-BG63)*$H$14+IF($A64-$D$14&lt;=2,Premissas!$B$49,IF($A64-$D$14&lt;=5,Premissas!$B$50,IF($A64-$D$14&lt;=8,Premissas!$B$51,$G$14)))+IF($A64=1+$D$14,Premissas!$B$55,IF($A64=3+$D$14,Premissas!$B$56,IF($A64=6+$D$14,Premissas!$B$57,0))))</f>
        <v>-46675.4811763437</v>
      </c>
      <c r="BJ64" s="77">
        <f>BH64+BI64</f>
        <v>74838.20803115636</v>
      </c>
      <c r="BK64" s="77">
        <f>BK63+BJ64</f>
        <v>526787.644302237</v>
      </c>
      <c r="BL64" s="78">
        <f>IF(BJ64&gt;0,$A64,9999)</f>
        <v>23.0</v>
      </c>
      <c r="BM64" s="78">
        <f>IF(BK64&gt;0,$A64,9999)</f>
        <v>23.0</v>
      </c>
      <c r="BN64" s="76">
        <f>IF($A64-$D$15&lt;Premissas!$B$41,0,$C$15*(Premissas!$B$39+(Premissas!$B$40-Premissas!$B$39)*$A64/36)/(1+EXP(-$K$15*($A64-$D$15-$I$15))))</f>
        <v>158.31228331558094</v>
      </c>
      <c r="BO64" s="77">
        <f>(BN64*$B$15+IF($A64&gt;=Premissas!$B$46+$D$15,$F$15,0))*(1-$E$15)*(1-Premissas!$B$60)</f>
        <v>60501.61837767032</v>
      </c>
      <c r="BP64" s="77">
        <f>-(BN64*$J$15+MAX(0,BN64-BN63)*$H$15+IF($A64-$D$15&lt;=2,Premissas!$B$49,IF($A64-$D$15&lt;=5,Premissas!$B$50,IF($A64-$D$15&lt;=8,Premissas!$B$51,$G$15)))+IF($A64=1+$D$15,Premissas!$B$55,IF($A64=3+$D$15,Premissas!$B$56,IF($A64=6+$D$15,Premissas!$B$57,0))))</f>
        <v>-44873.6221214212</v>
      </c>
      <c r="BQ64" s="77">
        <f>BO64+BP64</f>
        <v>15627.99625624912</v>
      </c>
      <c r="BR64" s="77">
        <f>BR63+BQ64</f>
        <v>-277669.06382714375</v>
      </c>
      <c r="BS64" s="78">
        <f>IF(BQ64&gt;0,$A64,9999)</f>
        <v>23.0</v>
      </c>
      <c r="BT64" s="78">
        <f>IF(BR64&gt;0,$A64,9999)</f>
        <v>9999.0</v>
      </c>
      <c r="BU64" s="76">
        <f>IF($A64-$D$16&lt;Premissas!$B$41,0,$C$16*(Premissas!$B$39+(Premissas!$B$40-Premissas!$B$39)*$A64/36)/(1+EXP(-$K$16*($A64-$D$16-$I$16))))</f>
        <v>316.6245666311619</v>
      </c>
      <c r="BV64" s="77">
        <f>(BU64*$B$16+IF($A64&gt;=Premissas!$B$46+$D$16,$F$16,0))*(1-$E$16)*(1-Premissas!$B$60)</f>
        <v>72152.10389097141</v>
      </c>
      <c r="BW64" s="77">
        <f>-(BU64*$J$16+MAX(0,BU64-BU63)*$H$16+IF($A64-$D$16&lt;=2,Premissas!$B$49,IF($A64-$D$16&lt;=5,Premissas!$B$50,IF($A64-$D$16&lt;=8,Premissas!$B$51,$G$16)))+IF($A64=1+$D$16,Premissas!$B$55,IF($A64=3+$D$16,Premissas!$B$56,IF($A64=6+$D$16,Premissas!$B$57,0))))</f>
        <v>-54747.244242842404</v>
      </c>
      <c r="BX64" s="77">
        <f>BV64+BW64</f>
        <v>17404.859648129008</v>
      </c>
      <c r="BY64" s="77">
        <f>BY63+BX64</f>
        <v>-328609.8473373039</v>
      </c>
      <c r="BZ64" s="78">
        <f>IF(BX64&gt;0,$A64,9999)</f>
        <v>23.0</v>
      </c>
      <c r="CA64" s="78">
        <f>IF(BY64&gt;0,$A64,9999)</f>
        <v>9999.0</v>
      </c>
      <c r="CB64" s="76">
        <f>IF($A64-$D$17&lt;Premissas!$B$41,0,$C$17*(Premissas!$B$39+(Premissas!$B$40-Premissas!$B$39)*$A64/36)/(1+EXP(-$K$17*($A64-$D$17-$I$17))))</f>
        <v>101.47789585954752</v>
      </c>
      <c r="CC64" s="77">
        <f>(CB64*$B$17+IF($A64&gt;=Premissas!$B$46+$D$17,$F$17,0))*(1-$E$17)*(1-Premissas!$B$60)</f>
        <v>27541.441706477177</v>
      </c>
      <c r="CD64" s="77">
        <f>-(CB64*$J$17+MAX(0,CB64-CB63)*$H$17+IF($A64-$D$17&lt;=2,Premissas!$B$49,IF($A64-$D$17&lt;=5,Premissas!$B$50,IF($A64-$D$17&lt;=8,Premissas!$B$51,$G$17)))+IF($A64=1+$D$17,Premissas!$B$55,IF($A64=3+$D$17,Premissas!$B$56,IF($A64=6+$D$17,Premissas!$B$57,0))))</f>
        <v>-45429.608101943086</v>
      </c>
      <c r="CE64" s="77">
        <f>CC64+CD64</f>
        <v>-17888.16639546591</v>
      </c>
      <c r="CF64" s="77">
        <f>CF63+CE64</f>
        <v>-437939.5856124059</v>
      </c>
      <c r="CG64" s="78">
        <f>IF(CE64&gt;0,$A64,9999)</f>
        <v>9999.0</v>
      </c>
      <c r="CH64" s="78">
        <f>IF(CF64&gt;0,$A64,9999)</f>
        <v>9999.0</v>
      </c>
    </row>
    <row r="65">
      <c r="A65" s="14" t="n">
        <v>24</v>
      </c>
      <c r="C65" s="76">
        <f>IF($A65-$D$6&lt;Premissas!$B$41,0,$C$6*(Premissas!$B$39+(Premissas!$B$40-Premissas!$B$39)*$A65/36)/(1+EXP(-$K$6*($A65-$D$6-$I$6))))</f>
        <v>328.0254138563613</v>
      </c>
      <c r="D65" s="77">
        <f>(C65*$B$6+IF($A65&gt;=Premissas!$B$46+$D$6,$F$6,0))*(1-$E$6)*(1-Premissas!$B$60)</f>
        <v>114640.10702017926</v>
      </c>
      <c r="E65" s="77">
        <f>-(C65*$J$6+MAX(0,C65-C64)*$H$6+IF($A65-$D$6&lt;=2,Premissas!$B$49,IF($A65-$D$6&lt;=5,Premissas!$B$50,IF($A65-$D$6&lt;=8,Premissas!$B$51,$G$6)))+IF($A65=1+$D$6,Premissas!$B$55,IF($A65=3+$D$6,Premissas!$B$56,IF($A65=6+$D$6,Premissas!$B$57,0))))</f>
        <v>-54321.48251361602</v>
      </c>
      <c r="F65" s="77">
        <f>D65+E65</f>
        <v>60318.62450656324</v>
      </c>
      <c r="G65" s="77">
        <f>G64+F65</f>
        <v>69980.49685227586</v>
      </c>
      <c r="H65" s="78">
        <f>IF(F65&gt;0,$A65,9999)</f>
        <v>24.0</v>
      </c>
      <c r="I65" s="78">
        <f>IF(G65&gt;0,$A65,9999)</f>
        <v>24.0</v>
      </c>
      <c r="J65" s="76">
        <f>IF($A65-$D$7&lt;Premissas!$B$41,0,$C$7*(Premissas!$B$39+(Premissas!$B$40-Premissas!$B$39)*$A65/36)/(1+EXP(-$K$7*($A65-$D$7-$I$7))))</f>
        <v>514.1610831835932</v>
      </c>
      <c r="K65" s="77">
        <f>(J65*$B$7+IF($A65&gt;=Premissas!$B$46+$D$7,$F$7,0))*(1-$E$7)*(1-Premissas!$B$60)</f>
        <v>122800.62290392077</v>
      </c>
      <c r="L65" s="77">
        <f>-(J65*$J$7+MAX(0,J65-J64)*$H$7+IF($A65-$D$7&lt;=2,Premissas!$B$49,IF($A65-$D$7&lt;=5,Premissas!$B$50,IF($A65-$D$7&lt;=8,Premissas!$B$51,$G$7)))+IF($A65=1+$D$7,Premissas!$B$55,IF($A65=3+$D$7,Premissas!$B$56,IF($A65=6+$D$7,Premissas!$B$57,0))))</f>
        <v>-56881.70723204329</v>
      </c>
      <c r="M65" s="77">
        <f>K65+L65</f>
        <v>65918.91567187748</v>
      </c>
      <c r="N65" s="77">
        <f>N64+M65</f>
        <v>442706.5599741144</v>
      </c>
      <c r="O65" s="78">
        <f>IF(M65&gt;0,$A65,9999)</f>
        <v>24.0</v>
      </c>
      <c r="P65" s="78">
        <f>IF(N65&gt;0,$A65,9999)</f>
        <v>24.0</v>
      </c>
      <c r="Q65" s="76">
        <f>IF($A65-$D$8&lt;Premissas!$B$41,0,$C$8*(Premissas!$B$39+(Premissas!$B$40-Premissas!$B$39)*$A65/36)/(1+EXP(-$K$8*($A65-$D$8-$I$8))))</f>
        <v>514.1610831835932</v>
      </c>
      <c r="R65" s="77">
        <f>(Q65*$B$8+IF($A65&gt;=Premissas!$B$46+$D$8,$F$8,0))*(1-$E$8)*(1-Premissas!$B$60)</f>
        <v>163734.16387189436</v>
      </c>
      <c r="S65" s="77">
        <f>-(Q65*$J$8+MAX(0,Q65-Q64)*$H$8+IF($A65-$D$8&lt;=2,Premissas!$B$49,IF($A65-$D$8&lt;=5,Premissas!$B$50,IF($A65-$D$8&lt;=8,Premissas!$B$51,$G$8)))+IF($A65=1+$D$8,Premissas!$B$55,IF($A65=3+$D$8,Premissas!$B$56,IF($A65=6+$D$8,Premissas!$B$57,0))))</f>
        <v>-56881.70723204329</v>
      </c>
      <c r="T65" s="77">
        <f>R65+S65</f>
        <v>106852.45663985107</v>
      </c>
      <c r="U65" s="77">
        <f>U64+T65</f>
        <v>933222.2933429142</v>
      </c>
      <c r="V65" s="78">
        <f>IF(T65&gt;0,$A65,9999)</f>
        <v>24.0</v>
      </c>
      <c r="W65" s="78">
        <f>IF(U65&gt;0,$A65,9999)</f>
        <v>24.0</v>
      </c>
      <c r="X65" s="76">
        <f>IF($A65-$D$9&lt;Premissas!$B$41,0,$C$9*(Premissas!$B$39+(Premissas!$B$40-Premissas!$B$39)*$A65/36)/(1+EXP(-$K$9*($A65-$D$9-$I$9))))</f>
        <v>514.1610831835932</v>
      </c>
      <c r="Y65" s="77">
        <f>(X65*$B$9+IF($A65&gt;=Premissas!$B$46+$D$9,$F$9,0))*(1-$E$9)*(1-Premissas!$B$60)</f>
        <v>130987.33109751549</v>
      </c>
      <c r="Z65" s="77">
        <f>-(X65*$J$9+MAX(0,X65-X64)*$H$9+IF($A65-$D$9&lt;=2,Premissas!$B$49,IF($A65-$D$9&lt;=5,Premissas!$B$50,IF($A65-$D$9&lt;=8,Premissas!$B$51,$G$9)))+IF($A65=1+$D$9,Premissas!$B$55,IF($A65=3+$D$9,Premissas!$B$56,IF($A65=6+$D$9,Premissas!$B$57,0))))</f>
        <v>-56881.70723204329</v>
      </c>
      <c r="AA65" s="77">
        <f>Y65+Z65</f>
        <v>74105.6238654722</v>
      </c>
      <c r="AB65" s="77">
        <f>AB64+AA65</f>
        <v>540809.7066478746</v>
      </c>
      <c r="AC65" s="78">
        <f>IF(AA65&gt;0,$A65,9999)</f>
        <v>24.0</v>
      </c>
      <c r="AD65" s="78">
        <f>IF(AB65&gt;0,$A65,9999)</f>
        <v>24.0</v>
      </c>
      <c r="AE65" s="76">
        <f>IF($A65-$D$10&lt;Premissas!$B$41,0,$C$10*(Premissas!$B$39+(Premissas!$B$40-Premissas!$B$39)*$A65/36)/(1+EXP(-$K$10*($A65-$D$10-$I$10))))</f>
        <v>514.1610831835932</v>
      </c>
      <c r="AF65" s="77">
        <f>(AE65*$B$10+IF($A65&gt;=Premissas!$B$46+$D$10,$F$10,0))*(1-$E$10)*(1-Premissas!$B$60)</f>
        <v>114613.91471032605</v>
      </c>
      <c r="AG65" s="77">
        <f>-(AE65*$J$10+MAX(0,AE65-AE64)*$H$10+IF($A65-$D$10&lt;=2,Premissas!$B$49,IF($A65-$D$10&lt;=5,Premissas!$B$50,IF($A65-$D$10&lt;=8,Premissas!$B$51,$G$10)))+IF($A65=1+$D$10,Premissas!$B$55,IF($A65=3+$D$10,Premissas!$B$56,IF($A65=6+$D$10,Premissas!$B$57,0))))</f>
        <v>-56881.70723204329</v>
      </c>
      <c r="AH65" s="77">
        <f>AF65+AG65</f>
        <v>57732.207478282755</v>
      </c>
      <c r="AI65" s="77">
        <f>AI64+AH65</f>
        <v>344603.41330035444</v>
      </c>
      <c r="AJ65" s="78">
        <f>IF(AH65&gt;0,$A65,9999)</f>
        <v>24.0</v>
      </c>
      <c r="AK65" s="78">
        <f>IF(AI65&gt;0,$A65,9999)</f>
        <v>24.0</v>
      </c>
      <c r="AL65" s="76">
        <f>IF($A65-$D$11&lt;Premissas!$B$41,0,$C$11*(Premissas!$B$39+(Premissas!$B$40-Premissas!$B$39)*$A65/36)/(1+EXP(-$K$11*($A65-$D$11-$I$11))))</f>
        <v>514.1610831835932</v>
      </c>
      <c r="AM65" s="77">
        <f>(AL65*$B$11+IF($A65&gt;=Premissas!$B$46+$D$11,$F$11,0))*(1-$E$11)*(1-Premissas!$B$60)</f>
        <v>98240.4983231366</v>
      </c>
      <c r="AN65" s="77">
        <f>-(AL65*$J$11+MAX(0,AL65-AL64)*$H$11+IF($A65-$D$11&lt;=2,Premissas!$B$49,IF($A65-$D$11&lt;=5,Premissas!$B$50,IF($A65-$D$11&lt;=8,Premissas!$B$51,$G$11)))+IF($A65=1+$D$11,Premissas!$B$55,IF($A65=3+$D$11,Premissas!$B$56,IF($A65=6+$D$11,Premissas!$B$57,0))))</f>
        <v>-56881.70723204329</v>
      </c>
      <c r="AO65" s="77">
        <f>AM65+AN65</f>
        <v>41358.79109109331</v>
      </c>
      <c r="AP65" s="77">
        <f>AP64+AO65</f>
        <v>148397.11995283462</v>
      </c>
      <c r="AQ65" s="78">
        <f>IF(AO65&gt;0,$A65,9999)</f>
        <v>24.0</v>
      </c>
      <c r="AR65" s="78">
        <f>IF(AP65&gt;0,$A65,9999)</f>
        <v>24.0</v>
      </c>
      <c r="AS65" s="76">
        <f>IF($A65-$D$12&lt;Premissas!$B$41,0,$C$12*(Premissas!$B$39+(Premissas!$B$40-Premissas!$B$39)*$A65/36)/(1+EXP(-$K$12*($A65-$D$12-$I$12))))</f>
        <v>514.1610831835932</v>
      </c>
      <c r="AT65" s="77">
        <f>(AS65*$B$12+IF($A65&gt;=Premissas!$B$46+$D$12,$F$12,0))*(1-$E$12)*(1-Premissas!$B$60)</f>
        <v>103519.58228453604</v>
      </c>
      <c r="AU65" s="77">
        <f>-(AS65*$J$12+MAX(0,AS65-AS64)*$H$12+IF($A65-$D$12&lt;=2,Premissas!$B$49,IF($A65-$D$12&lt;=5,Premissas!$B$50,IF($A65-$D$12&lt;=8,Premissas!$B$51,$G$12)))+IF($A65=1+$D$12,Premissas!$B$55,IF($A65=3+$D$12,Premissas!$B$56,IF($A65=6+$D$12,Premissas!$B$57,0))))</f>
        <v>-56881.70723204329</v>
      </c>
      <c r="AV65" s="77">
        <f>AT65+AU65</f>
        <v>46637.875052492745</v>
      </c>
      <c r="AW65" s="77">
        <f>AW64+AV65</f>
        <v>216695.32249812808</v>
      </c>
      <c r="AX65" s="78">
        <f>IF(AV65&gt;0,$A65,9999)</f>
        <v>24.0</v>
      </c>
      <c r="AY65" s="78">
        <f>IF(AW65&gt;0,$A65,9999)</f>
        <v>24.0</v>
      </c>
      <c r="AZ65" s="76">
        <f>IF($A65-$D$13&lt;Premissas!$B$41,0,$C$13*(Premissas!$B$39+(Premissas!$B$40-Premissas!$B$39)*$A65/36)/(1+EXP(-$K$13*($A65-$D$13-$I$13))))</f>
        <v>483.95864448582887</v>
      </c>
      <c r="BA65" s="77">
        <f>(AZ65*$B$13+IF($A65&gt;=Premissas!$B$46+$D$13,$F$13,0))*(1-$E$13)*(1-Premissas!$B$60)</f>
        <v>116027.72602594714</v>
      </c>
      <c r="BB65" s="77">
        <f>-(AZ65*$J$13+MAX(0,AZ65-AZ64)*$H$13+IF($A65-$D$13&lt;=2,Premissas!$B$49,IF($A65-$D$13&lt;=5,Premissas!$B$50,IF($A65-$D$13&lt;=8,Premissas!$B$51,$G$13)))+IF($A65=1+$D$13,Premissas!$B$55,IF($A65=3+$D$13,Premissas!$B$56,IF($A65=6+$D$13,Premissas!$B$57,0))))</f>
        <v>-56364.07360389841</v>
      </c>
      <c r="BC65" s="77">
        <f>BA65+BB65</f>
        <v>59663.652422048726</v>
      </c>
      <c r="BD65" s="77">
        <f>BD64+BC65</f>
        <v>67809.40811384981</v>
      </c>
      <c r="BE65" s="78">
        <f>IF(BC65&gt;0,$A65,9999)</f>
        <v>24.0</v>
      </c>
      <c r="BF65" s="78">
        <f>IF(BD65&gt;0,$A65,9999)</f>
        <v>24.0</v>
      </c>
      <c r="BG65" s="76">
        <f>IF($A65-$D$14&lt;Premissas!$B$41,0,$C$14*(Premissas!$B$39+(Premissas!$B$40-Premissas!$B$39)*$A65/36)/(1+EXP(-$K$14*($A65-$D$14-$I$14))))</f>
        <v>514.1610831835932</v>
      </c>
      <c r="BH65" s="77">
        <f>(BG65*$B$14+IF($A65&gt;=Premissas!$B$46+$D$14,$F$14,0))*(1-$E$14)*(1-Premissas!$B$60)</f>
        <v>122800.62290392077</v>
      </c>
      <c r="BI65" s="77">
        <f>-(BG65*$J$14+MAX(0,BG65-BG64)*$H$14+IF($A65-$D$14&lt;=2,Premissas!$B$49,IF($A65-$D$14&lt;=5,Premissas!$B$50,IF($A65-$D$14&lt;=8,Premissas!$B$51,$G$14)))+IF($A65=1+$D$14,Premissas!$B$55,IF($A65=3+$D$14,Premissas!$B$56,IF($A65=6+$D$14,Premissas!$B$57,0))))</f>
        <v>-46881.70723204329</v>
      </c>
      <c r="BJ65" s="77">
        <f>BH65+BI65</f>
        <v>75918.91567187748</v>
      </c>
      <c r="BK65" s="77">
        <f>BK64+BJ65</f>
        <v>602706.5599741144</v>
      </c>
      <c r="BL65" s="78">
        <f>IF(BJ65&gt;0,$A65,9999)</f>
        <v>24.0</v>
      </c>
      <c r="BM65" s="78">
        <f>IF(BK65&gt;0,$A65,9999)</f>
        <v>24.0</v>
      </c>
      <c r="BN65" s="76">
        <f>IF($A65-$D$15&lt;Premissas!$B$41,0,$C$15*(Premissas!$B$39+(Premissas!$B$40-Premissas!$B$39)*$A65/36)/(1+EXP(-$K$15*($A65-$D$15-$I$15))))</f>
        <v>164.01270692818065</v>
      </c>
      <c r="BO65" s="77">
        <f>(BN65*$B$15+IF($A65&gt;=Premissas!$B$46+$D$15,$F$15,0))*(1-$E$15)*(1-Premissas!$B$60)</f>
        <v>62320.05351008963</v>
      </c>
      <c r="BP65" s="77">
        <f>-(BN65*$J$15+MAX(0,BN65-BN64)*$H$15+IF($A65-$D$15&lt;=2,Premissas!$B$49,IF($A65-$D$15&lt;=5,Premissas!$B$50,IF($A65-$D$15&lt;=8,Premissas!$B$51,$G$15)))+IF($A65=1+$D$15,Premissas!$B$55,IF($A65=3+$D$15,Premissas!$B$56,IF($A65=6+$D$15,Premissas!$B$57,0))))</f>
        <v>-44660.74125680801</v>
      </c>
      <c r="BQ65" s="77">
        <f>BO65+BP65</f>
        <v>17659.31225328162</v>
      </c>
      <c r="BR65" s="77">
        <f>BR64+BQ65</f>
        <v>-260009.75157386213</v>
      </c>
      <c r="BS65" s="78">
        <f>IF(BQ65&gt;0,$A65,9999)</f>
        <v>24.0</v>
      </c>
      <c r="BT65" s="78">
        <f>IF(BR65&gt;0,$A65,9999)</f>
        <v>9999.0</v>
      </c>
      <c r="BU65" s="76">
        <f>IF($A65-$D$16&lt;Premissas!$B$41,0,$C$16*(Premissas!$B$39+(Premissas!$B$40-Premissas!$B$39)*$A65/36)/(1+EXP(-$K$16*($A65-$D$16-$I$16))))</f>
        <v>328.0254138563613</v>
      </c>
      <c r="BV65" s="77">
        <f>(BU65*$B$16+IF($A65&gt;=Premissas!$B$46+$D$16,$F$16,0))*(1-$E$16)*(1-Premissas!$B$60)</f>
        <v>74516.06956311653</v>
      </c>
      <c r="BW65" s="77">
        <f>-(BU65*$J$16+MAX(0,BU65-BU64)*$H$16+IF($A65-$D$16&lt;=2,Premissas!$B$49,IF($A65-$D$16&lt;=5,Premissas!$B$50,IF($A65-$D$16&lt;=8,Premissas!$B$51,$G$16)))+IF($A65=1+$D$16,Premissas!$B$55,IF($A65=3+$D$16,Premissas!$B$56,IF($A65=6+$D$16,Premissas!$B$57,0))))</f>
        <v>-54321.48251361602</v>
      </c>
      <c r="BX65" s="77">
        <f>BV65+BW65</f>
        <v>20194.587049500507</v>
      </c>
      <c r="BY65" s="77">
        <f>BY64+BX65</f>
        <v>-308415.2602878034</v>
      </c>
      <c r="BZ65" s="78">
        <f>IF(BX65&gt;0,$A65,9999)</f>
        <v>24.0</v>
      </c>
      <c r="CA65" s="78">
        <f>IF(BY65&gt;0,$A65,9999)</f>
        <v>9999.0</v>
      </c>
      <c r="CB65" s="76">
        <f>IF($A65-$D$17&lt;Premissas!$B$41,0,$C$17*(Premissas!$B$39+(Premissas!$B$40-Premissas!$B$39)*$A65/36)/(1+EXP(-$K$17*($A65-$D$17-$I$17))))</f>
        <v>115.68948021029821</v>
      </c>
      <c r="CC65" s="77">
        <f>(CB65*$B$17+IF($A65&gt;=Premissas!$B$46+$D$17,$F$17,0))*(1-$E$17)*(1-Premissas!$B$60)</f>
        <v>30488.213721605334</v>
      </c>
      <c r="CD65" s="77">
        <f>-(CB65*$J$17+MAX(0,CB65-CB64)*$H$17+IF($A65-$D$17&lt;=2,Premissas!$B$49,IF($A65-$D$17&lt;=5,Premissas!$B$50,IF($A65-$D$17&lt;=8,Premissas!$B$51,$G$17)))+IF($A65=1+$D$17,Premissas!$B$55,IF($A65=3+$D$17,Premissas!$B$56,IF($A65=6+$D$17,Premissas!$B$57,0))))</f>
        <v>-45890.6603497637</v>
      </c>
      <c r="CE65" s="77">
        <f>CC65+CD65</f>
        <v>-15402.446628158363</v>
      </c>
      <c r="CF65" s="77">
        <f>CF64+CE65</f>
        <v>-453342.0322405643</v>
      </c>
      <c r="CG65" s="78">
        <f>IF(CE65&gt;0,$A65,9999)</f>
        <v>9999.0</v>
      </c>
      <c r="CH65" s="78">
        <f>IF(CF65&gt;0,$A65,9999)</f>
        <v>9999.0</v>
      </c>
    </row>
    <row r="66">
      <c r="A66" s="14" t="n">
        <v>25</v>
      </c>
      <c r="C66" s="76">
        <f>IF($A66-$D$6&lt;Premissas!$B$41,0,$C$6*(Premissas!$B$39+(Premissas!$B$40-Premissas!$B$39)*$A66/36)/(1+EXP(-$K$6*($A66-$D$6-$I$6))))</f>
        <v>337.4898116843829</v>
      </c>
      <c r="D66" s="77">
        <f>(C66*$B$6+IF($A66&gt;=Premissas!$B$46+$D$6,$F$6,0))*(1-$E$6)*(1-Premissas!$B$60)</f>
        <v>117659.24992731815</v>
      </c>
      <c r="E66" s="77">
        <f>-(C66*$J$6+MAX(0,C66-C65)*$H$6+IF($A66-$D$6&lt;=2,Premissas!$B$49,IF($A66-$D$6&lt;=5,Premissas!$B$50,IF($A66-$D$6&lt;=8,Premissas!$B$51,$G$6)))+IF($A66=1+$D$6,Premissas!$B$55,IF($A66=3+$D$6,Premissas!$B$56,IF($A66=6+$D$6,Premissas!$B$57,0))))</f>
        <v>-53972.80065700588</v>
      </c>
      <c r="F66" s="77">
        <f>D66+E66</f>
        <v>63686.44927031227</v>
      </c>
      <c r="G66" s="77">
        <f>G65+F66</f>
        <v>133666.94612258812</v>
      </c>
      <c r="H66" s="78">
        <f>IF(F66&gt;0,$A66,9999)</f>
        <v>25.0</v>
      </c>
      <c r="I66" s="78">
        <f>IF(G66&gt;0,$A66,9999)</f>
        <v>25.0</v>
      </c>
      <c r="J66" s="76">
        <f>IF($A66-$D$7&lt;Premissas!$B$41,0,$C$7*(Premissas!$B$39+(Premissas!$B$40-Premissas!$B$39)*$A66/36)/(1+EXP(-$K$7*($A66-$D$7-$I$7))))</f>
        <v>519.4471002887625</v>
      </c>
      <c r="K66" s="77">
        <f>(J66*$B$7+IF($A66&gt;=Premissas!$B$46+$D$7,$F$7,0))*(1-$E$7)*(1-Premissas!$B$60)</f>
        <v>123986.01223975499</v>
      </c>
      <c r="L66" s="77">
        <f>-(J66*$J$7+MAX(0,J66-J65)*$H$7+IF($A66-$D$7&lt;=2,Premissas!$B$49,IF($A66-$D$7&lt;=5,Premissas!$B$50,IF($A66-$D$7&lt;=8,Premissas!$B$51,$G$7)))+IF($A66=1+$D$7,Premissas!$B$55,IF($A66=3+$D$7,Premissas!$B$56,IF($A66=6+$D$7,Premissas!$B$57,0))))</f>
        <v>-57081.07906738649</v>
      </c>
      <c r="M66" s="77">
        <f>K66+L66</f>
        <v>66904.9331723685</v>
      </c>
      <c r="N66" s="77">
        <f>N65+M66</f>
        <v>509611.4931464829</v>
      </c>
      <c r="O66" s="78">
        <f>IF(M66&gt;0,$A66,9999)</f>
        <v>25.0</v>
      </c>
      <c r="P66" s="78">
        <f>IF(N66&gt;0,$A66,9999)</f>
        <v>25.0</v>
      </c>
      <c r="Q66" s="76">
        <f>IF($A66-$D$8&lt;Premissas!$B$41,0,$C$8*(Premissas!$B$39+(Premissas!$B$40-Premissas!$B$39)*$A66/36)/(1+EXP(-$K$8*($A66-$D$8-$I$8))))</f>
        <v>519.4471002887625</v>
      </c>
      <c r="R66" s="77">
        <f>(Q66*$B$8+IF($A66&gt;=Premissas!$B$46+$D$8,$F$8,0))*(1-$E$8)*(1-Premissas!$B$60)</f>
        <v>165314.68298634</v>
      </c>
      <c r="S66" s="77">
        <f>-(Q66*$J$8+MAX(0,Q66-Q65)*$H$8+IF($A66-$D$8&lt;=2,Premissas!$B$49,IF($A66-$D$8&lt;=5,Premissas!$B$50,IF($A66-$D$8&lt;=8,Premissas!$B$51,$G$8)))+IF($A66=1+$D$8,Premissas!$B$55,IF($A66=3+$D$8,Premissas!$B$56,IF($A66=6+$D$8,Premissas!$B$57,0))))</f>
        <v>-57081.07906738649</v>
      </c>
      <c r="T66" s="77">
        <f>R66+S66</f>
        <v>108233.60391895351</v>
      </c>
      <c r="U66" s="77">
        <f>U65+T66</f>
        <v>1041455.8972618678</v>
      </c>
      <c r="V66" s="78">
        <f>IF(T66&gt;0,$A66,9999)</f>
        <v>25.0</v>
      </c>
      <c r="W66" s="78">
        <f>IF(U66&gt;0,$A66,9999)</f>
        <v>25.0</v>
      </c>
      <c r="X66" s="76">
        <f>IF($A66-$D$9&lt;Premissas!$B$41,0,$C$9*(Premissas!$B$39+(Premissas!$B$40-Premissas!$B$39)*$A66/36)/(1+EXP(-$K$9*($A66-$D$9-$I$9))))</f>
        <v>519.4471002887625</v>
      </c>
      <c r="Y66" s="77">
        <f>(X66*$B$9+IF($A66&gt;=Premissas!$B$46+$D$9,$F$9,0))*(1-$E$9)*(1-Premissas!$B$60)</f>
        <v>132251.746389072</v>
      </c>
      <c r="Z66" s="77">
        <f>-(X66*$J$9+MAX(0,X66-X65)*$H$9+IF($A66-$D$9&lt;=2,Premissas!$B$49,IF($A66-$D$9&lt;=5,Premissas!$B$50,IF($A66-$D$9&lt;=8,Premissas!$B$51,$G$9)))+IF($A66=1+$D$9,Premissas!$B$55,IF($A66=3+$D$9,Premissas!$B$56,IF($A66=6+$D$9,Premissas!$B$57,0))))</f>
        <v>-57081.07906738649</v>
      </c>
      <c r="AA66" s="77">
        <f>Y66+Z66</f>
        <v>75170.66732168553</v>
      </c>
      <c r="AB66" s="77">
        <f>AB65+AA66</f>
        <v>615980.37396956</v>
      </c>
      <c r="AC66" s="78">
        <f>IF(AA66&gt;0,$A66,9999)</f>
        <v>25.0</v>
      </c>
      <c r="AD66" s="78">
        <f>IF(AB66&gt;0,$A66,9999)</f>
        <v>25.0</v>
      </c>
      <c r="AE66" s="76">
        <f>IF($A66-$D$10&lt;Premissas!$B$41,0,$C$10*(Premissas!$B$39+(Premissas!$B$40-Premissas!$B$39)*$A66/36)/(1+EXP(-$K$10*($A66-$D$10-$I$10))))</f>
        <v>519.4471002887625</v>
      </c>
      <c r="AF66" s="77">
        <f>(AE66*$B$10+IF($A66&gt;=Premissas!$B$46+$D$10,$F$10,0))*(1-$E$10)*(1-Premissas!$B$60)</f>
        <v>115720.27809043799</v>
      </c>
      <c r="AG66" s="77">
        <f>-(AE66*$J$10+MAX(0,AE66-AE65)*$H$10+IF($A66-$D$10&lt;=2,Premissas!$B$49,IF($A66-$D$10&lt;=5,Premissas!$B$50,IF($A66-$D$10&lt;=8,Premissas!$B$51,$G$10)))+IF($A66=1+$D$10,Premissas!$B$55,IF($A66=3+$D$10,Premissas!$B$56,IF($A66=6+$D$10,Premissas!$B$57,0))))</f>
        <v>-57081.07906738649</v>
      </c>
      <c r="AH66" s="77">
        <f>AF66+AG66</f>
        <v>58639.1990230515</v>
      </c>
      <c r="AI66" s="77">
        <f>AI65+AH66</f>
        <v>403242.6123234059</v>
      </c>
      <c r="AJ66" s="78">
        <f>IF(AH66&gt;0,$A66,9999)</f>
        <v>25.0</v>
      </c>
      <c r="AK66" s="78">
        <f>IF(AI66&gt;0,$A66,9999)</f>
        <v>25.0</v>
      </c>
      <c r="AL66" s="76">
        <f>IF($A66-$D$11&lt;Premissas!$B$41,0,$C$11*(Premissas!$B$39+(Premissas!$B$40-Premissas!$B$39)*$A66/36)/(1+EXP(-$K$11*($A66-$D$11-$I$11))))</f>
        <v>519.4471002887625</v>
      </c>
      <c r="AM66" s="77">
        <f>(AL66*$B$11+IF($A66&gt;=Premissas!$B$46+$D$11,$F$11,0))*(1-$E$11)*(1-Premissas!$B$60)</f>
        <v>99188.80979180399</v>
      </c>
      <c r="AN66" s="77">
        <f>-(AL66*$J$11+MAX(0,AL66-AL65)*$H$11+IF($A66-$D$11&lt;=2,Premissas!$B$49,IF($A66-$D$11&lt;=5,Premissas!$B$50,IF($A66-$D$11&lt;=8,Premissas!$B$51,$G$11)))+IF($A66=1+$D$11,Premissas!$B$55,IF($A66=3+$D$11,Premissas!$B$56,IF($A66=6+$D$11,Premissas!$B$57,0))))</f>
        <v>-57081.07906738649</v>
      </c>
      <c r="AO66" s="77">
        <f>AM66+AN66</f>
        <v>42107.730724417495</v>
      </c>
      <c r="AP66" s="77">
        <f>AP65+AO66</f>
        <v>190504.8506772521</v>
      </c>
      <c r="AQ66" s="78">
        <f>IF(AO66&gt;0,$A66,9999)</f>
        <v>25.0</v>
      </c>
      <c r="AR66" s="78">
        <f>IF(AP66&gt;0,$A66,9999)</f>
        <v>25.0</v>
      </c>
      <c r="AS66" s="76">
        <f>IF($A66-$D$12&lt;Premissas!$B$41,0,$C$12*(Premissas!$B$39+(Premissas!$B$40-Premissas!$B$39)*$A66/36)/(1+EXP(-$K$12*($A66-$D$12-$I$12))))</f>
        <v>519.4471002887625</v>
      </c>
      <c r="AT66" s="77">
        <f>(AS66*$B$12+IF($A66&gt;=Premissas!$B$46+$D$12,$F$12,0))*(1-$E$12)*(1-Premissas!$B$60)</f>
        <v>104506.7459789264</v>
      </c>
      <c r="AU66" s="77">
        <f>-(AS66*$J$12+MAX(0,AS66-AS65)*$H$12+IF($A66-$D$12&lt;=2,Premissas!$B$49,IF($A66-$D$12&lt;=5,Premissas!$B$50,IF($A66-$D$12&lt;=8,Premissas!$B$51,$G$12)))+IF($A66=1+$D$12,Premissas!$B$55,IF($A66=3+$D$12,Premissas!$B$56,IF($A66=6+$D$12,Premissas!$B$57,0))))</f>
        <v>-57081.07906738649</v>
      </c>
      <c r="AV66" s="77">
        <f>AT66+AU66</f>
        <v>47425.666911539905</v>
      </c>
      <c r="AW66" s="77">
        <f>AW65+AV66</f>
        <v>264120.98940966796</v>
      </c>
      <c r="AX66" s="78">
        <f>IF(AV66&gt;0,$A66,9999)</f>
        <v>25.0</v>
      </c>
      <c r="AY66" s="78">
        <f>IF(AW66&gt;0,$A66,9999)</f>
        <v>25.0</v>
      </c>
      <c r="AZ66" s="76">
        <f>IF($A66-$D$13&lt;Premissas!$B$41,0,$C$13*(Premissas!$B$39+(Premissas!$B$40-Premissas!$B$39)*$A66/36)/(1+EXP(-$K$13*($A66-$D$13-$I$13))))</f>
        <v>499.5368395331219</v>
      </c>
      <c r="BA66" s="77">
        <f>(AZ66*$B$13+IF($A66&gt;=Premissas!$B$46+$D$13,$F$13,0))*(1-$E$13)*(1-Premissas!$B$60)</f>
        <v>119521.1362653026</v>
      </c>
      <c r="BB66" s="77">
        <f>-(AZ66*$J$13+MAX(0,AZ66-AZ65)*$H$13+IF($A66-$D$13&lt;=2,Premissas!$B$49,IF($A66-$D$13&lt;=5,Premissas!$B$50,IF($A66-$D$13&lt;=8,Premissas!$B$51,$G$13)))+IF($A66=1+$D$13,Premissas!$B$55,IF($A66=3+$D$13,Premissas!$B$56,IF($A66=6+$D$13,Premissas!$B$57,0))))</f>
        <v>-56759.45701275577</v>
      </c>
      <c r="BC66" s="77">
        <f>BA66+BB66</f>
        <v>62761.67925254683</v>
      </c>
      <c r="BD66" s="77">
        <f>BD65+BC66</f>
        <v>130571.08736639665</v>
      </c>
      <c r="BE66" s="78">
        <f>IF(BC66&gt;0,$A66,9999)</f>
        <v>25.0</v>
      </c>
      <c r="BF66" s="78">
        <f>IF(BD66&gt;0,$A66,9999)</f>
        <v>25.0</v>
      </c>
      <c r="BG66" s="76">
        <f>IF($A66-$D$14&lt;Premissas!$B$41,0,$C$14*(Premissas!$B$39+(Premissas!$B$40-Premissas!$B$39)*$A66/36)/(1+EXP(-$K$14*($A66-$D$14-$I$14))))</f>
        <v>519.4471002887625</v>
      </c>
      <c r="BH66" s="77">
        <f>(BG66*$B$14+IF($A66&gt;=Premissas!$B$46+$D$14,$F$14,0))*(1-$E$14)*(1-Premissas!$B$60)</f>
        <v>123986.01223975499</v>
      </c>
      <c r="BI66" s="77">
        <f>-(BG66*$J$14+MAX(0,BG66-BG65)*$H$14+IF($A66-$D$14&lt;=2,Premissas!$B$49,IF($A66-$D$14&lt;=5,Premissas!$B$50,IF($A66-$D$14&lt;=8,Premissas!$B$51,$G$14)))+IF($A66=1+$D$14,Premissas!$B$55,IF($A66=3+$D$14,Premissas!$B$56,IF($A66=6+$D$14,Premissas!$B$57,0))))</f>
        <v>-47081.07906738649</v>
      </c>
      <c r="BJ66" s="77">
        <f>BH66+BI66</f>
        <v>76904.9331723685</v>
      </c>
      <c r="BK66" s="77">
        <f>BK65+BJ66</f>
        <v>679611.4931464829</v>
      </c>
      <c r="BL66" s="78">
        <f>IF(BJ66&gt;0,$A66,9999)</f>
        <v>25.0</v>
      </c>
      <c r="BM66" s="78">
        <f>IF(BK66&gt;0,$A66,9999)</f>
        <v>25.0</v>
      </c>
      <c r="BN66" s="76">
        <f>IF($A66-$D$15&lt;Premissas!$B$41,0,$C$15*(Premissas!$B$39+(Premissas!$B$40-Premissas!$B$39)*$A66/36)/(1+EXP(-$K$15*($A66-$D$15-$I$15))))</f>
        <v>168.74490584219146</v>
      </c>
      <c r="BO66" s="77">
        <f>(BN66*$B$15+IF($A66&gt;=Premissas!$B$46+$D$15,$F$15,0))*(1-$E$15)*(1-Premissas!$B$60)</f>
        <v>63829.62496365907</v>
      </c>
      <c r="BP66" s="77">
        <f>-(BN66*$J$15+MAX(0,BN66-BN65)*$H$15+IF($A66-$D$15&lt;=2,Premissas!$B$49,IF($A66-$D$15&lt;=5,Premissas!$B$50,IF($A66-$D$15&lt;=8,Premissas!$B$51,$G$15)))+IF($A66=1+$D$15,Premissas!$B$55,IF($A66=3+$D$15,Premissas!$B$56,IF($A66=6+$D$15,Premissas!$B$57,0))))</f>
        <v>-44486.40032850294</v>
      </c>
      <c r="BQ66" s="77">
        <f>BO66+BP66</f>
        <v>19343.224635156133</v>
      </c>
      <c r="BR66" s="77">
        <f>BR65+BQ66</f>
        <v>-240666.526938706</v>
      </c>
      <c r="BS66" s="78">
        <f>IF(BQ66&gt;0,$A66,9999)</f>
        <v>25.0</v>
      </c>
      <c r="BT66" s="78">
        <f>IF(BR66&gt;0,$A66,9999)</f>
        <v>9999.0</v>
      </c>
      <c r="BU66" s="76">
        <f>IF($A66-$D$16&lt;Premissas!$B$41,0,$C$16*(Premissas!$B$39+(Premissas!$B$40-Premissas!$B$39)*$A66/36)/(1+EXP(-$K$16*($A66-$D$16-$I$16))))</f>
        <v>337.4898116843829</v>
      </c>
      <c r="BV66" s="77">
        <f>(BU66*$B$16+IF($A66&gt;=Premissas!$B$46+$D$16,$F$16,0))*(1-$E$16)*(1-Premissas!$B$60)</f>
        <v>76478.5124527568</v>
      </c>
      <c r="BW66" s="77">
        <f>-(BU66*$J$16+MAX(0,BU66-BU65)*$H$16+IF($A66-$D$16&lt;=2,Premissas!$B$49,IF($A66-$D$16&lt;=5,Premissas!$B$50,IF($A66-$D$16&lt;=8,Premissas!$B$51,$G$16)))+IF($A66=1+$D$16,Premissas!$B$55,IF($A66=3+$D$16,Premissas!$B$56,IF($A66=6+$D$16,Premissas!$B$57,0))))</f>
        <v>-53972.80065700588</v>
      </c>
      <c r="BX66" s="77">
        <f>BV66+BW66</f>
        <v>22505.711795750918</v>
      </c>
      <c r="BY66" s="77">
        <f>BY65+BX66</f>
        <v>-285909.5484920525</v>
      </c>
      <c r="BZ66" s="78">
        <f>IF(BX66&gt;0,$A66,9999)</f>
        <v>25.0</v>
      </c>
      <c r="CA66" s="78">
        <f>IF(BY66&gt;0,$A66,9999)</f>
        <v>9999.0</v>
      </c>
      <c r="CB66" s="76">
        <f>IF($A66-$D$17&lt;Premissas!$B$41,0,$C$17*(Premissas!$B$39+(Premissas!$B$40-Premissas!$B$39)*$A66/36)/(1+EXP(-$K$17*($A66-$D$17-$I$17))))</f>
        <v>128.8728598711719</v>
      </c>
      <c r="CC66" s="77">
        <f>(CB66*$B$17+IF($A66&gt;=Premissas!$B$46+$D$17,$F$17,0))*(1-$E$17)*(1-Premissas!$B$60)</f>
        <v>33221.78749428749</v>
      </c>
      <c r="CD66" s="77">
        <f>-(CB66*$J$17+MAX(0,CB66-CB65)*$H$17+IF($A66-$D$17&lt;=2,Premissas!$B$49,IF($A66-$D$17&lt;=5,Premissas!$B$50,IF($A66-$D$17&lt;=8,Premissas!$B$51,$G$17)))+IF($A66=1+$D$17,Premissas!$B$55,IF($A66=3+$D$17,Premissas!$B$56,IF($A66=6+$D$17,Premissas!$B$57,0))))</f>
        <v>-46072.630558552206</v>
      </c>
      <c r="CE66" s="77">
        <f>CC66+CD66</f>
        <v>-12850.843064264714</v>
      </c>
      <c r="CF66" s="77">
        <f>CF65+CE66</f>
        <v>-466192.875304829</v>
      </c>
      <c r="CG66" s="78">
        <f>IF(CE66&gt;0,$A66,9999)</f>
        <v>9999.0</v>
      </c>
      <c r="CH66" s="78">
        <f>IF(CF66&gt;0,$A66,9999)</f>
        <v>9999.0</v>
      </c>
    </row>
    <row r="67">
      <c r="A67" s="14" t="n">
        <v>26</v>
      </c>
      <c r="C67" s="76">
        <f>IF($A67-$D$6&lt;Premissas!$B$41,0,$C$6*(Premissas!$B$39+(Premissas!$B$40-Premissas!$B$39)*$A67/36)/(1+EXP(-$K$6*($A67-$D$6-$I$6))))</f>
        <v>345.40657773404655</v>
      </c>
      <c r="D67" s="77">
        <f>(C67*$B$6+IF($A67&gt;=Premissas!$B$46+$D$6,$F$6,0))*(1-$E$6)*(1-Premissas!$B$60)</f>
        <v>120184.69829716085</v>
      </c>
      <c r="E67" s="77">
        <f>-(C67*$J$6+MAX(0,C67-C66)*$H$6+IF($A67-$D$6&lt;=2,Premissas!$B$49,IF($A67-$D$6&lt;=5,Premissas!$B$50,IF($A67-$D$6&lt;=8,Premissas!$B$51,$G$6)))+IF($A67=1+$D$6,Premissas!$B$55,IF($A67=3+$D$6,Premissas!$B$56,IF($A67=6+$D$6,Premissas!$B$57,0))))</f>
        <v>-53710.00241789755</v>
      </c>
      <c r="F67" s="77">
        <f>D67+E67</f>
        <v>66474.69587926331</v>
      </c>
      <c r="G67" s="77">
        <f>G66+F67</f>
        <v>200141.64200185143</v>
      </c>
      <c r="H67" s="78">
        <f>IF(F67&gt;0,$A67,9999)</f>
        <v>26.0</v>
      </c>
      <c r="I67" s="78">
        <f>IF(G67&gt;0,$A67,9999)</f>
        <v>26.0</v>
      </c>
      <c r="J67" s="76">
        <f>IF($A67-$D$7&lt;Premissas!$B$41,0,$C$7*(Premissas!$B$39+(Premissas!$B$40-Premissas!$B$39)*$A67/36)/(1+EXP(-$K$7*($A67-$D$7-$I$7))))</f>
        <v>524.4397465658949</v>
      </c>
      <c r="K67" s="77">
        <f>(J67*$B$7+IF($A67&gt;=Premissas!$B$46+$D$7,$F$7,0))*(1-$E$7)*(1-Premissas!$B$60)</f>
        <v>125105.61316740193</v>
      </c>
      <c r="L67" s="77">
        <f>-(J67*$J$7+MAX(0,J67-J66)*$H$7+IF($A67-$D$7&lt;=2,Premissas!$B$49,IF($A67-$D$7&lt;=5,Premissas!$B$50,IF($A67-$D$7&lt;=8,Premissas!$B$51,$G$7)))+IF($A67=1+$D$7,Premissas!$B$55,IF($A67=3+$D$7,Premissas!$B$56,IF($A67=6+$D$7,Premissas!$B$57,0))))</f>
        <v>-57276.1016696242</v>
      </c>
      <c r="M67" s="77">
        <f>K67+L67</f>
        <v>67829.51149777773</v>
      </c>
      <c r="N67" s="77">
        <f>N66+M67</f>
        <v>577441.0046442606</v>
      </c>
      <c r="O67" s="78">
        <f>IF(M67&gt;0,$A67,9999)</f>
        <v>26.0</v>
      </c>
      <c r="P67" s="78">
        <f>IF(N67&gt;0,$A67,9999)</f>
        <v>26.0</v>
      </c>
      <c r="Q67" s="76">
        <f>IF($A67-$D$8&lt;Premissas!$B$41,0,$C$8*(Premissas!$B$39+(Premissas!$B$40-Premissas!$B$39)*$A67/36)/(1+EXP(-$K$8*($A67-$D$8-$I$8))))</f>
        <v>524.4397465658949</v>
      </c>
      <c r="R67" s="77">
        <f>(Q67*$B$8+IF($A67&gt;=Premissas!$B$46+$D$8,$F$8,0))*(1-$E$8)*(1-Premissas!$B$60)</f>
        <v>166807.48422320257</v>
      </c>
      <c r="S67" s="77">
        <f>-(Q67*$J$8+MAX(0,Q67-Q66)*$H$8+IF($A67-$D$8&lt;=2,Premissas!$B$49,IF($A67-$D$8&lt;=5,Premissas!$B$50,IF($A67-$D$8&lt;=8,Premissas!$B$51,$G$8)))+IF($A67=1+$D$8,Premissas!$B$55,IF($A67=3+$D$8,Premissas!$B$56,IF($A67=6+$D$8,Premissas!$B$57,0))))</f>
        <v>-57276.1016696242</v>
      </c>
      <c r="T67" s="77">
        <f>R67+S67</f>
        <v>109531.38255357837</v>
      </c>
      <c r="U67" s="77">
        <f>U66+T67</f>
        <v>1150987.2798154461</v>
      </c>
      <c r="V67" s="78">
        <f>IF(T67&gt;0,$A67,9999)</f>
        <v>26.0</v>
      </c>
      <c r="W67" s="78">
        <f>IF(U67&gt;0,$A67,9999)</f>
        <v>26.0</v>
      </c>
      <c r="X67" s="76">
        <f>IF($A67-$D$9&lt;Premissas!$B$41,0,$C$9*(Premissas!$B$39+(Premissas!$B$40-Premissas!$B$39)*$A67/36)/(1+EXP(-$K$9*($A67-$D$9-$I$9))))</f>
        <v>524.4397465658949</v>
      </c>
      <c r="Y67" s="77">
        <f>(X67*$B$9+IF($A67&gt;=Premissas!$B$46+$D$9,$F$9,0))*(1-$E$9)*(1-Premissas!$B$60)</f>
        <v>133445.98737856207</v>
      </c>
      <c r="Z67" s="77">
        <f>-(X67*$J$9+MAX(0,X67-X66)*$H$9+IF($A67-$D$9&lt;=2,Premissas!$B$49,IF($A67-$D$9&lt;=5,Premissas!$B$50,IF($A67-$D$9&lt;=8,Premissas!$B$51,$G$9)))+IF($A67=1+$D$9,Premissas!$B$55,IF($A67=3+$D$9,Premissas!$B$56,IF($A67=6+$D$9,Premissas!$B$57,0))))</f>
        <v>-57276.1016696242</v>
      </c>
      <c r="AA67" s="77">
        <f>Y67+Z67</f>
        <v>76169.88570893787</v>
      </c>
      <c r="AB67" s="77">
        <f>AB66+AA67</f>
        <v>692150.2596784979</v>
      </c>
      <c r="AC67" s="78">
        <f>IF(AA67&gt;0,$A67,9999)</f>
        <v>26.0</v>
      </c>
      <c r="AD67" s="78">
        <f>IF(AB67&gt;0,$A67,9999)</f>
        <v>26.0</v>
      </c>
      <c r="AE67" s="76">
        <f>IF($A67-$D$10&lt;Premissas!$B$41,0,$C$10*(Premissas!$B$39+(Premissas!$B$40-Premissas!$B$39)*$A67/36)/(1+EXP(-$K$10*($A67-$D$10-$I$10))))</f>
        <v>524.4397465658949</v>
      </c>
      <c r="AF67" s="77">
        <f>(AE67*$B$10+IF($A67&gt;=Premissas!$B$46+$D$10,$F$10,0))*(1-$E$10)*(1-Premissas!$B$60)</f>
        <v>116765.2389562418</v>
      </c>
      <c r="AG67" s="77">
        <f>-(AE67*$J$10+MAX(0,AE67-AE66)*$H$10+IF($A67-$D$10&lt;=2,Premissas!$B$49,IF($A67-$D$10&lt;=5,Premissas!$B$50,IF($A67-$D$10&lt;=8,Premissas!$B$51,$G$10)))+IF($A67=1+$D$10,Premissas!$B$55,IF($A67=3+$D$10,Premissas!$B$56,IF($A67=6+$D$10,Premissas!$B$57,0))))</f>
        <v>-57276.1016696242</v>
      </c>
      <c r="AH67" s="77">
        <f>AF67+AG67</f>
        <v>59489.137286617595</v>
      </c>
      <c r="AI67" s="77">
        <f>AI66+AH67</f>
        <v>462731.7496100235</v>
      </c>
      <c r="AJ67" s="78">
        <f>IF(AH67&gt;0,$A67,9999)</f>
        <v>26.0</v>
      </c>
      <c r="AK67" s="78">
        <f>IF(AI67&gt;0,$A67,9999)</f>
        <v>26.0</v>
      </c>
      <c r="AL67" s="76">
        <f>IF($A67-$D$11&lt;Premissas!$B$41,0,$C$11*(Premissas!$B$39+(Premissas!$B$40-Premissas!$B$39)*$A67/36)/(1+EXP(-$K$11*($A67-$D$11-$I$11))))</f>
        <v>524.4397465658949</v>
      </c>
      <c r="AM67" s="77">
        <f>(AL67*$B$11+IF($A67&gt;=Premissas!$B$46+$D$11,$F$11,0))*(1-$E$11)*(1-Premissas!$B$60)</f>
        <v>100084.49053392153</v>
      </c>
      <c r="AN67" s="77">
        <f>-(AL67*$J$11+MAX(0,AL67-AL66)*$H$11+IF($A67-$D$11&lt;=2,Premissas!$B$49,IF($A67-$D$11&lt;=5,Premissas!$B$50,IF($A67-$D$11&lt;=8,Premissas!$B$51,$G$11)))+IF($A67=1+$D$11,Premissas!$B$55,IF($A67=3+$D$11,Premissas!$B$56,IF($A67=6+$D$11,Premissas!$B$57,0))))</f>
        <v>-57276.1016696242</v>
      </c>
      <c r="AO67" s="77">
        <f>AM67+AN67</f>
        <v>42808.38886429733</v>
      </c>
      <c r="AP67" s="77">
        <f>AP66+AO67</f>
        <v>233313.23954154944</v>
      </c>
      <c r="AQ67" s="78">
        <f>IF(AO67&gt;0,$A67,9999)</f>
        <v>26.0</v>
      </c>
      <c r="AR67" s="78">
        <f>IF(AP67&gt;0,$A67,9999)</f>
        <v>26.0</v>
      </c>
      <c r="AS67" s="76">
        <f>IF($A67-$D$12&lt;Premissas!$B$41,0,$C$12*(Premissas!$B$39+(Premissas!$B$40-Premissas!$B$39)*$A67/36)/(1+EXP(-$K$12*($A67-$D$12-$I$12))))</f>
        <v>524.4397465658949</v>
      </c>
      <c r="AT67" s="77">
        <f>(AS67*$B$12+IF($A67&gt;=Premissas!$B$46+$D$12,$F$12,0))*(1-$E$12)*(1-Premissas!$B$60)</f>
        <v>105439.12267118088</v>
      </c>
      <c r="AU67" s="77">
        <f>-(AS67*$J$12+MAX(0,AS67-AS66)*$H$12+IF($A67-$D$12&lt;=2,Premissas!$B$49,IF($A67-$D$12&lt;=5,Premissas!$B$50,IF($A67-$D$12&lt;=8,Premissas!$B$51,$G$12)))+IF($A67=1+$D$12,Premissas!$B$55,IF($A67=3+$D$12,Premissas!$B$56,IF($A67=6+$D$12,Premissas!$B$57,0))))</f>
        <v>-57276.1016696242</v>
      </c>
      <c r="AV67" s="77">
        <f>AT67+AU67</f>
        <v>48163.021001556684</v>
      </c>
      <c r="AW67" s="77">
        <f>AW66+AV67</f>
        <v>312284.0104112247</v>
      </c>
      <c r="AX67" s="78">
        <f>IF(AV67&gt;0,$A67,9999)</f>
        <v>26.0</v>
      </c>
      <c r="AY67" s="78">
        <f>IF(AW67&gt;0,$A67,9999)</f>
        <v>26.0</v>
      </c>
      <c r="AZ67" s="76">
        <f>IF($A67-$D$13&lt;Premissas!$B$41,0,$C$13*(Premissas!$B$39+(Premissas!$B$40-Premissas!$B$39)*$A67/36)/(1+EXP(-$K$13*($A67-$D$13-$I$13))))</f>
        <v>511.4286434719546</v>
      </c>
      <c r="BA67" s="77">
        <f>(AZ67*$B$13+IF($A67&gt;=Premissas!$B$46+$D$13,$F$13,0))*(1-$E$13)*(1-Premissas!$B$60)</f>
        <v>122187.87329858582</v>
      </c>
      <c r="BB67" s="77">
        <f>-(AZ67*$J$13+MAX(0,AZ67-AZ66)*$H$13+IF($A67-$D$13&lt;=2,Premissas!$B$49,IF($A67-$D$13&lt;=5,Premissas!$B$50,IF($A67-$D$13&lt;=8,Premissas!$B$51,$G$13)))+IF($A67=1+$D$13,Premissas!$B$55,IF($A67=3+$D$13,Premissas!$B$56,IF($A67=6+$D$13,Premissas!$B$57,0))))</f>
        <v>-57074.59322276373</v>
      </c>
      <c r="BC67" s="77">
        <f>BA67+BB67</f>
        <v>65113.28007582209</v>
      </c>
      <c r="BD67" s="77">
        <f>BD66+BC67</f>
        <v>195684.36744221873</v>
      </c>
      <c r="BE67" s="78">
        <f>IF(BC67&gt;0,$A67,9999)</f>
        <v>26.0</v>
      </c>
      <c r="BF67" s="78">
        <f>IF(BD67&gt;0,$A67,9999)</f>
        <v>26.0</v>
      </c>
      <c r="BG67" s="76">
        <f>IF($A67-$D$14&lt;Premissas!$B$41,0,$C$14*(Premissas!$B$39+(Premissas!$B$40-Premissas!$B$39)*$A67/36)/(1+EXP(-$K$14*($A67-$D$14-$I$14))))</f>
        <v>524.4397465658949</v>
      </c>
      <c r="BH67" s="77">
        <f>(BG67*$B$14+IF($A67&gt;=Premissas!$B$46+$D$14,$F$14,0))*(1-$E$14)*(1-Premissas!$B$60)</f>
        <v>125105.61316740193</v>
      </c>
      <c r="BI67" s="77">
        <f>-(BG67*$J$14+MAX(0,BG67-BG66)*$H$14+IF($A67-$D$14&lt;=2,Premissas!$B$49,IF($A67-$D$14&lt;=5,Premissas!$B$50,IF($A67-$D$14&lt;=8,Premissas!$B$51,$G$14)))+IF($A67=1+$D$14,Premissas!$B$55,IF($A67=3+$D$14,Premissas!$B$56,IF($A67=6+$D$14,Premissas!$B$57,0))))</f>
        <v>-47276.1016696242</v>
      </c>
      <c r="BJ67" s="77">
        <f>BH67+BI67</f>
        <v>77829.51149777773</v>
      </c>
      <c r="BK67" s="77">
        <f>BK66+BJ67</f>
        <v>757441.0046442606</v>
      </c>
      <c r="BL67" s="78">
        <f>IF(BJ67&gt;0,$A67,9999)</f>
        <v>26.0</v>
      </c>
      <c r="BM67" s="78">
        <f>IF(BK67&gt;0,$A67,9999)</f>
        <v>26.0</v>
      </c>
      <c r="BN67" s="76">
        <f>IF($A67-$D$15&lt;Premissas!$B$41,0,$C$15*(Premissas!$B$39+(Premissas!$B$40-Premissas!$B$39)*$A67/36)/(1+EXP(-$K$15*($A67-$D$15-$I$15))))</f>
        <v>172.70328886702328</v>
      </c>
      <c r="BO67" s="77">
        <f>(BN67*$B$15+IF($A67&gt;=Premissas!$B$46+$D$15,$F$15,0))*(1-$E$15)*(1-Premissas!$B$60)</f>
        <v>65092.349148580426</v>
      </c>
      <c r="BP67" s="77">
        <f>-(BN67*$J$15+MAX(0,BN67-BN66)*$H$15+IF($A67-$D$15&lt;=2,Premissas!$B$49,IF($A67-$D$15&lt;=5,Premissas!$B$50,IF($A67-$D$15&lt;=8,Premissas!$B$51,$G$15)))+IF($A67=1+$D$15,Premissas!$B$55,IF($A67=3+$D$15,Premissas!$B$56,IF($A67=6+$D$15,Premissas!$B$57,0))))</f>
        <v>-44355.00120894877</v>
      </c>
      <c r="BQ67" s="77">
        <f>BO67+BP67</f>
        <v>20737.347939631654</v>
      </c>
      <c r="BR67" s="77">
        <f>BR66+BQ67</f>
        <v>-219929.17899907433</v>
      </c>
      <c r="BS67" s="78">
        <f>IF(BQ67&gt;0,$A67,9999)</f>
        <v>26.0</v>
      </c>
      <c r="BT67" s="78">
        <f>IF(BR67&gt;0,$A67,9999)</f>
        <v>9999.0</v>
      </c>
      <c r="BU67" s="76">
        <f>IF($A67-$D$16&lt;Premissas!$B$41,0,$C$16*(Premissas!$B$39+(Premissas!$B$40-Premissas!$B$39)*$A67/36)/(1+EXP(-$K$16*($A67-$D$16-$I$16))))</f>
        <v>345.40657773404655</v>
      </c>
      <c r="BV67" s="77">
        <f>(BU67*$B$16+IF($A67&gt;=Premissas!$B$46+$D$16,$F$16,0))*(1-$E$16)*(1-Premissas!$B$60)</f>
        <v>78120.05389315456</v>
      </c>
      <c r="BW67" s="77">
        <f>-(BU67*$J$16+MAX(0,BU67-BU66)*$H$16+IF($A67-$D$16&lt;=2,Premissas!$B$49,IF($A67-$D$16&lt;=5,Premissas!$B$50,IF($A67-$D$16&lt;=8,Premissas!$B$51,$G$16)))+IF($A67=1+$D$16,Premissas!$B$55,IF($A67=3+$D$16,Premissas!$B$56,IF($A67=6+$D$16,Premissas!$B$57,0))))</f>
        <v>-53710.00241789755</v>
      </c>
      <c r="BX67" s="77">
        <f>BV67+BW67</f>
        <v>24410.05147525701</v>
      </c>
      <c r="BY67" s="77">
        <f>BY66+BX67</f>
        <v>-261499.49701679547</v>
      </c>
      <c r="BZ67" s="78">
        <f>IF(BX67&gt;0,$A67,9999)</f>
        <v>26.0</v>
      </c>
      <c r="CA67" s="78">
        <f>IF(BY67&gt;0,$A67,9999)</f>
        <v>9999.0</v>
      </c>
      <c r="CB67" s="76">
        <f>IF($A67-$D$17&lt;Premissas!$B$41,0,$C$17*(Premissas!$B$39+(Premissas!$B$40-Premissas!$B$39)*$A67/36)/(1+EXP(-$K$17*($A67-$D$17-$I$17))))</f>
        <v>140.63991363305155</v>
      </c>
      <c r="CC67" s="77">
        <f>(CB67*$B$17+IF($A67&gt;=Premissas!$B$46+$D$17,$F$17,0))*(1-$E$17)*(1-Premissas!$B$60)</f>
        <v>35661.68609181324</v>
      </c>
      <c r="CD67" s="77">
        <f>-(CB67*$J$17+MAX(0,CB67-CB66)*$H$17+IF($A67-$D$17&lt;=2,Premissas!$B$49,IF($A67-$D$17&lt;=5,Premissas!$B$50,IF($A67-$D$17&lt;=8,Premissas!$B$51,$G$17)))+IF($A67=1+$D$17,Premissas!$B$55,IF($A67=3+$D$17,Premissas!$B$56,IF($A67=6+$D$17,Premissas!$B$57,0))))</f>
        <v>-46035.61761823918</v>
      </c>
      <c r="CE67" s="77">
        <f>CC67+CD67</f>
        <v>-10373.931526425942</v>
      </c>
      <c r="CF67" s="77">
        <f>CF66+CE67</f>
        <v>-476566.8068312549</v>
      </c>
      <c r="CG67" s="78">
        <f>IF(CE67&gt;0,$A67,9999)</f>
        <v>9999.0</v>
      </c>
      <c r="CH67" s="78">
        <f>IF(CF67&gt;0,$A67,9999)</f>
        <v>9999.0</v>
      </c>
    </row>
    <row r="68">
      <c r="A68" s="14" t="n">
        <v>27</v>
      </c>
      <c r="C68" s="76">
        <f>IF($A68-$D$6&lt;Premissas!$B$41,0,$C$6*(Premissas!$B$39+(Premissas!$B$40-Premissas!$B$39)*$A68/36)/(1+EXP(-$K$6*($A68-$D$6-$I$6))))</f>
        <v>352.115092158032</v>
      </c>
      <c r="D68" s="77">
        <f>(C68*$B$6+IF($A68&gt;=Premissas!$B$46+$D$6,$F$6,0))*(1-$E$6)*(1-Premissas!$B$60)</f>
        <v>122324.71439841221</v>
      </c>
      <c r="E68" s="77">
        <f>-(C68*$J$6+MAX(0,C68-C67)*$H$6+IF($A68-$D$6&lt;=2,Premissas!$B$49,IF($A68-$D$6&lt;=5,Premissas!$B$50,IF($A68-$D$6&lt;=8,Premissas!$B$51,$G$6)))+IF($A68=1+$D$6,Premissas!$B$55,IF($A68=3+$D$6,Premissas!$B$56,IF($A68=6+$D$6,Premissas!$B$57,0))))</f>
        <v>-53528.584916705615</v>
      </c>
      <c r="F68" s="77">
        <f>D68+E68</f>
        <v>68796.1294817066</v>
      </c>
      <c r="G68" s="77">
        <f>G67+F68</f>
        <v>268937.771483558</v>
      </c>
      <c r="H68" s="78">
        <f>IF(F68&gt;0,$A68,9999)</f>
        <v>27.0</v>
      </c>
      <c r="I68" s="78">
        <f>IF(G68&gt;0,$A68,9999)</f>
        <v>27.0</v>
      </c>
      <c r="J68" s="76">
        <f>IF($A68-$D$7&lt;Premissas!$B$41,0,$C$7*(Premissas!$B$39+(Premissas!$B$40-Premissas!$B$39)*$A68/36)/(1+EXP(-$K$7*($A68-$D$7-$I$7))))</f>
        <v>529.2428203671819</v>
      </c>
      <c r="K68" s="77">
        <f>(J68*$B$7+IF($A68&gt;=Premissas!$B$46+$D$7,$F$7,0))*(1-$E$7)*(1-Premissas!$B$60)</f>
        <v>126182.70246734054</v>
      </c>
      <c r="L68" s="77">
        <f>-(J68*$J$7+MAX(0,J68-J67)*$H$7+IF($A68-$D$7&lt;=2,Premissas!$B$49,IF($A68-$D$7&lt;=5,Premissas!$B$50,IF($A68-$D$7&lt;=8,Premissas!$B$51,$G$7)))+IF($A68=1+$D$7,Premissas!$B$55,IF($A68=3+$D$7,Premissas!$B$56,IF($A68=6+$D$7,Premissas!$B$57,0))))</f>
        <v>-57468.35214548599</v>
      </c>
      <c r="M68" s="77">
        <f>K68+L68</f>
        <v>68714.35032185455</v>
      </c>
      <c r="N68" s="77">
        <f>N67+M68</f>
        <v>646155.3549661152</v>
      </c>
      <c r="O68" s="78">
        <f>IF(M68&gt;0,$A68,9999)</f>
        <v>27.0</v>
      </c>
      <c r="P68" s="78">
        <f>IF(N68&gt;0,$A68,9999)</f>
        <v>27.0</v>
      </c>
      <c r="Q68" s="76">
        <f>IF($A68-$D$8&lt;Premissas!$B$41,0,$C$8*(Premissas!$B$39+(Premissas!$B$40-Premissas!$B$39)*$A68/36)/(1+EXP(-$K$8*($A68-$D$8-$I$8))))</f>
        <v>529.2428203671819</v>
      </c>
      <c r="R68" s="77">
        <f>(Q68*$B$8+IF($A68&gt;=Premissas!$B$46+$D$8,$F$8,0))*(1-$E$8)*(1-Premissas!$B$60)</f>
        <v>168243.6032897874</v>
      </c>
      <c r="S68" s="77">
        <f>-(Q68*$J$8+MAX(0,Q68-Q67)*$H$8+IF($A68-$D$8&lt;=2,Premissas!$B$49,IF($A68-$D$8&lt;=5,Premissas!$B$50,IF($A68-$D$8&lt;=8,Premissas!$B$51,$G$8)))+IF($A68=1+$D$8,Premissas!$B$55,IF($A68=3+$D$8,Premissas!$B$56,IF($A68=6+$D$8,Premissas!$B$57,0))))</f>
        <v>-57468.35214548599</v>
      </c>
      <c r="T68" s="77">
        <f>R68+S68</f>
        <v>110775.25114430141</v>
      </c>
      <c r="U68" s="77">
        <f>U67+T68</f>
        <v>1261762.5309597475</v>
      </c>
      <c r="V68" s="78">
        <f>IF(T68&gt;0,$A68,9999)</f>
        <v>27.0</v>
      </c>
      <c r="W68" s="78">
        <f>IF(U68&gt;0,$A68,9999)</f>
        <v>27.0</v>
      </c>
      <c r="X68" s="76">
        <f>IF($A68-$D$9&lt;Premissas!$B$41,0,$C$9*(Premissas!$B$39+(Premissas!$B$40-Premissas!$B$39)*$A68/36)/(1+EXP(-$K$9*($A68-$D$9-$I$9))))</f>
        <v>529.2428203671819</v>
      </c>
      <c r="Y68" s="77">
        <f>(X68*$B$9+IF($A68&gt;=Premissas!$B$46+$D$9,$F$9,0))*(1-$E$9)*(1-Premissas!$B$60)</f>
        <v>134594.8826318299</v>
      </c>
      <c r="Z68" s="77">
        <f>-(X68*$J$9+MAX(0,X68-X67)*$H$9+IF($A68-$D$9&lt;=2,Premissas!$B$49,IF($A68-$D$9&lt;=5,Premissas!$B$50,IF($A68-$D$9&lt;=8,Premissas!$B$51,$G$9)))+IF($A68=1+$D$9,Premissas!$B$55,IF($A68=3+$D$9,Premissas!$B$56,IF($A68=6+$D$9,Premissas!$B$57,0))))</f>
        <v>-57468.35214548599</v>
      </c>
      <c r="AA68" s="77">
        <f>Y68+Z68</f>
        <v>77126.53048634392</v>
      </c>
      <c r="AB68" s="77">
        <f>AB67+AA68</f>
        <v>769276.7901648418</v>
      </c>
      <c r="AC68" s="78">
        <f>IF(AA68&gt;0,$A68,9999)</f>
        <v>27.0</v>
      </c>
      <c r="AD68" s="78">
        <f>IF(AB68&gt;0,$A68,9999)</f>
        <v>27.0</v>
      </c>
      <c r="AE68" s="76">
        <f>IF($A68-$D$10&lt;Premissas!$B$41,0,$C$10*(Premissas!$B$39+(Premissas!$B$40-Premissas!$B$39)*$A68/36)/(1+EXP(-$K$10*($A68-$D$10-$I$10))))</f>
        <v>529.2428203671819</v>
      </c>
      <c r="AF68" s="77">
        <f>(AE68*$B$10+IF($A68&gt;=Premissas!$B$46+$D$10,$F$10,0))*(1-$E$10)*(1-Premissas!$B$60)</f>
        <v>117770.52230285117</v>
      </c>
      <c r="AG68" s="77">
        <f>-(AE68*$J$10+MAX(0,AE68-AE67)*$H$10+IF($A68-$D$10&lt;=2,Premissas!$B$49,IF($A68-$D$10&lt;=5,Premissas!$B$50,IF($A68-$D$10&lt;=8,Premissas!$B$51,$G$10)))+IF($A68=1+$D$10,Premissas!$B$55,IF($A68=3+$D$10,Premissas!$B$56,IF($A68=6+$D$10,Premissas!$B$57,0))))</f>
        <v>-57468.35214548599</v>
      </c>
      <c r="AH68" s="77">
        <f>AF68+AG68</f>
        <v>60302.17015736518</v>
      </c>
      <c r="AI68" s="77">
        <f>AI67+AH68</f>
        <v>523033.9197673887</v>
      </c>
      <c r="AJ68" s="78">
        <f>IF(AH68&gt;0,$A68,9999)</f>
        <v>27.0</v>
      </c>
      <c r="AK68" s="78">
        <f>IF(AI68&gt;0,$A68,9999)</f>
        <v>27.0</v>
      </c>
      <c r="AL68" s="76">
        <f>IF($A68-$D$11&lt;Premissas!$B$41,0,$C$11*(Premissas!$B$39+(Premissas!$B$40-Premissas!$B$39)*$A68/36)/(1+EXP(-$K$11*($A68-$D$11-$I$11))))</f>
        <v>529.2428203671819</v>
      </c>
      <c r="AM68" s="77">
        <f>(AL68*$B$11+IF($A68&gt;=Premissas!$B$46+$D$11,$F$11,0))*(1-$E$11)*(1-Premissas!$B$60)</f>
        <v>100946.16197387244</v>
      </c>
      <c r="AN68" s="77">
        <f>-(AL68*$J$11+MAX(0,AL68-AL67)*$H$11+IF($A68-$D$11&lt;=2,Premissas!$B$49,IF($A68-$D$11&lt;=5,Premissas!$B$50,IF($A68-$D$11&lt;=8,Premissas!$B$51,$G$11)))+IF($A68=1+$D$11,Premissas!$B$55,IF($A68=3+$D$11,Premissas!$B$56,IF($A68=6+$D$11,Premissas!$B$57,0))))</f>
        <v>-57468.35214548599</v>
      </c>
      <c r="AO68" s="77">
        <f>AM68+AN68</f>
        <v>43477.80982838645</v>
      </c>
      <c r="AP68" s="77">
        <f>AP67+AO68</f>
        <v>276791.0493699359</v>
      </c>
      <c r="AQ68" s="78">
        <f>IF(AO68&gt;0,$A68,9999)</f>
        <v>27.0</v>
      </c>
      <c r="AR68" s="78">
        <f>IF(AP68&gt;0,$A68,9999)</f>
        <v>27.0</v>
      </c>
      <c r="AS68" s="76">
        <f>IF($A68-$D$12&lt;Premissas!$B$41,0,$C$12*(Premissas!$B$39+(Premissas!$B$40-Premissas!$B$39)*$A68/36)/(1+EXP(-$K$12*($A68-$D$12-$I$12))))</f>
        <v>529.2428203671819</v>
      </c>
      <c r="AT68" s="77">
        <f>(AS68*$B$12+IF($A68&gt;=Premissas!$B$46+$D$12,$F$12,0))*(1-$E$12)*(1-Premissas!$B$60)</f>
        <v>106336.09670357121</v>
      </c>
      <c r="AU68" s="77">
        <f>-(AS68*$J$12+MAX(0,AS68-AS67)*$H$12+IF($A68-$D$12&lt;=2,Premissas!$B$49,IF($A68-$D$12&lt;=5,Premissas!$B$50,IF($A68-$D$12&lt;=8,Premissas!$B$51,$G$12)))+IF($A68=1+$D$12,Premissas!$B$55,IF($A68=3+$D$12,Premissas!$B$56,IF($A68=6+$D$12,Premissas!$B$57,0))))</f>
        <v>-57468.35214548599</v>
      </c>
      <c r="AV68" s="77">
        <f>AT68+AU68</f>
        <v>48867.74455808522</v>
      </c>
      <c r="AW68" s="77">
        <f>AW67+AV68</f>
        <v>361151.7549693099</v>
      </c>
      <c r="AX68" s="78">
        <f>IF(AV68&gt;0,$A68,9999)</f>
        <v>27.0</v>
      </c>
      <c r="AY68" s="78">
        <f>IF(AW68&gt;0,$A68,9999)</f>
        <v>27.0</v>
      </c>
      <c r="AZ68" s="76">
        <f>IF($A68-$D$13&lt;Premissas!$B$41,0,$C$13*(Premissas!$B$39+(Premissas!$B$40-Premissas!$B$39)*$A68/36)/(1+EXP(-$K$13*($A68-$D$13-$I$13))))</f>
        <v>520.7891168972452</v>
      </c>
      <c r="BA68" s="77">
        <f>(AZ68*$B$13+IF($A68&gt;=Premissas!$B$46+$D$13,$F$13,0))*(1-$E$13)*(1-Premissas!$B$60)</f>
        <v>124286.95946420723</v>
      </c>
      <c r="BB68" s="77">
        <f>-(AZ68*$J$13+MAX(0,AZ68-AZ67)*$H$13+IF($A68-$D$13&lt;=2,Premissas!$B$49,IF($A68-$D$13&lt;=5,Premissas!$B$50,IF($A68-$D$13&lt;=8,Premissas!$B$51,$G$13)))+IF($A68=1+$D$13,Premissas!$B$55,IF($A68=3+$D$13,Premissas!$B$56,IF($A68=6+$D$13,Premissas!$B$57,0))))</f>
        <v>-57341.16658094883</v>
      </c>
      <c r="BC68" s="77">
        <f>BA68+BB68</f>
        <v>66945.7928832584</v>
      </c>
      <c r="BD68" s="77">
        <f>BD67+BC68</f>
        <v>262630.16032547713</v>
      </c>
      <c r="BE68" s="78">
        <f>IF(BC68&gt;0,$A68,9999)</f>
        <v>27.0</v>
      </c>
      <c r="BF68" s="78">
        <f>IF(BD68&gt;0,$A68,9999)</f>
        <v>27.0</v>
      </c>
      <c r="BG68" s="76">
        <f>IF($A68-$D$14&lt;Premissas!$B$41,0,$C$14*(Premissas!$B$39+(Premissas!$B$40-Premissas!$B$39)*$A68/36)/(1+EXP(-$K$14*($A68-$D$14-$I$14))))</f>
        <v>529.2428203671819</v>
      </c>
      <c r="BH68" s="77">
        <f>(BG68*$B$14+IF($A68&gt;=Premissas!$B$46+$D$14,$F$14,0))*(1-$E$14)*(1-Premissas!$B$60)</f>
        <v>126182.70246734054</v>
      </c>
      <c r="BI68" s="77">
        <f>-(BG68*$J$14+MAX(0,BG68-BG67)*$H$14+IF($A68-$D$14&lt;=2,Premissas!$B$49,IF($A68-$D$14&lt;=5,Premissas!$B$50,IF($A68-$D$14&lt;=8,Premissas!$B$51,$G$14)))+IF($A68=1+$D$14,Premissas!$B$55,IF($A68=3+$D$14,Premissas!$B$56,IF($A68=6+$D$14,Premissas!$B$57,0))))</f>
        <v>-47468.35214548599</v>
      </c>
      <c r="BJ68" s="77">
        <f>BH68+BI68</f>
        <v>78714.35032185455</v>
      </c>
      <c r="BK68" s="77">
        <f>BK67+BJ68</f>
        <v>836155.3549661152</v>
      </c>
      <c r="BL68" s="78">
        <f>IF(BJ68&gt;0,$A68,9999)</f>
        <v>27.0</v>
      </c>
      <c r="BM68" s="78">
        <f>IF(BK68&gt;0,$A68,9999)</f>
        <v>27.0</v>
      </c>
      <c r="BN68" s="76">
        <f>IF($A68-$D$15&lt;Premissas!$B$41,0,$C$15*(Premissas!$B$39+(Premissas!$B$40-Premissas!$B$39)*$A68/36)/(1+EXP(-$K$15*($A68-$D$15-$I$15))))</f>
        <v>176.057546079016</v>
      </c>
      <c r="BO68" s="77">
        <f>(BN68*$B$15+IF($A68&gt;=Premissas!$B$46+$D$15,$F$15,0))*(1-$E$15)*(1-Premissas!$B$60)</f>
        <v>66162.3571992061</v>
      </c>
      <c r="BP68" s="77">
        <f>-(BN68*$J$15+MAX(0,BN68-BN67)*$H$15+IF($A68-$D$15&lt;=2,Premissas!$B$49,IF($A68-$D$15&lt;=5,Premissas!$B$50,IF($A68-$D$15&lt;=8,Premissas!$B$51,$G$15)))+IF($A68=1+$D$15,Premissas!$B$55,IF($A68=3+$D$15,Premissas!$B$56,IF($A68=6+$D$15,Premissas!$B$57,0))))</f>
        <v>-44264.29245835281</v>
      </c>
      <c r="BQ68" s="77">
        <f>BO68+BP68</f>
        <v>21898.064740853297</v>
      </c>
      <c r="BR68" s="77">
        <f>BR67+BQ68</f>
        <v>-198031.11425822103</v>
      </c>
      <c r="BS68" s="78">
        <f>IF(BQ68&gt;0,$A68,9999)</f>
        <v>27.0</v>
      </c>
      <c r="BT68" s="78">
        <f>IF(BR68&gt;0,$A68,9999)</f>
        <v>9999.0</v>
      </c>
      <c r="BU68" s="76">
        <f>IF($A68-$D$16&lt;Premissas!$B$41,0,$C$16*(Premissas!$B$39+(Premissas!$B$40-Premissas!$B$39)*$A68/36)/(1+EXP(-$K$16*($A68-$D$16-$I$16))))</f>
        <v>352.115092158032</v>
      </c>
      <c r="BV68" s="77">
        <f>(BU68*$B$16+IF($A68&gt;=Premissas!$B$46+$D$16,$F$16,0))*(1-$E$16)*(1-Premissas!$B$60)</f>
        <v>79511.06435896794</v>
      </c>
      <c r="BW68" s="77">
        <f>-(BU68*$J$16+MAX(0,BU68-BU67)*$H$16+IF($A68-$D$16&lt;=2,Premissas!$B$49,IF($A68-$D$16&lt;=5,Premissas!$B$50,IF($A68-$D$16&lt;=8,Premissas!$B$51,$G$16)))+IF($A68=1+$D$16,Premissas!$B$55,IF($A68=3+$D$16,Premissas!$B$56,IF($A68=6+$D$16,Premissas!$B$57,0))))</f>
        <v>-53528.584916705615</v>
      </c>
      <c r="BX68" s="77">
        <f>BV68+BW68</f>
        <v>25982.479442262324</v>
      </c>
      <c r="BY68" s="77">
        <f>BY67+BX68</f>
        <v>-235517.01757453315</v>
      </c>
      <c r="BZ68" s="78">
        <f>IF(BX68&gt;0,$A68,9999)</f>
        <v>27.0</v>
      </c>
      <c r="CA68" s="78">
        <f>IF(BY68&gt;0,$A68,9999)</f>
        <v>9999.0</v>
      </c>
      <c r="CB68" s="76">
        <f>IF($A68-$D$17&lt;Premissas!$B$41,0,$C$17*(Premissas!$B$39+(Premissas!$B$40-Premissas!$B$39)*$A68/36)/(1+EXP(-$K$17*($A68-$D$17-$I$17))))</f>
        <v>150.81893265024507</v>
      </c>
      <c r="CC68" s="77">
        <f>(CB68*$B$17+IF($A68&gt;=Premissas!$B$46+$D$17,$F$17,0))*(1-$E$17)*(1-Premissas!$B$60)</f>
        <v>37772.30568502832</v>
      </c>
      <c r="CD68" s="77">
        <f>-(CB68*$J$17+MAX(0,CB68-CB67)*$H$17+IF($A68-$D$17&lt;=2,Premissas!$B$49,IF($A68-$D$17&lt;=5,Premissas!$B$50,IF($A68-$D$17&lt;=8,Premissas!$B$51,$G$17)))+IF($A68=1+$D$17,Premissas!$B$55,IF($A68=3+$D$17,Premissas!$B$56,IF($A68=6+$D$17,Premissas!$B$57,0))))</f>
        <v>-45858.45957613844</v>
      </c>
      <c r="CE68" s="77">
        <f>CC68+CD68</f>
        <v>-8086.153891110123</v>
      </c>
      <c r="CF68" s="77">
        <f>CF67+CE68</f>
        <v>-484652.96072236507</v>
      </c>
      <c r="CG68" s="78">
        <f>IF(CE68&gt;0,$A68,9999)</f>
        <v>9999.0</v>
      </c>
      <c r="CH68" s="78">
        <f>IF(CF68&gt;0,$A68,9999)</f>
        <v>9999.0</v>
      </c>
    </row>
    <row r="69">
      <c r="A69" s="14" t="n">
        <v>28</v>
      </c>
      <c r="C69" s="76">
        <f>IF($A69-$D$6&lt;Premissas!$B$41,0,$C$6*(Premissas!$B$39+(Premissas!$B$40-Premissas!$B$39)*$A69/36)/(1+EXP(-$K$6*($A69-$D$6-$I$6))))</f>
        <v>357.8964062109504</v>
      </c>
      <c r="D69" s="77">
        <f>(C69*$B$6+IF($A69&gt;=Premissas!$B$46+$D$6,$F$6,0))*(1-$E$6)*(1-Premissas!$B$60)</f>
        <v>124168.95358129317</v>
      </c>
      <c r="E69" s="77">
        <f>-(C69*$J$6+MAX(0,C69-C68)*$H$6+IF($A69-$D$6&lt;=2,Premissas!$B$49,IF($A69-$D$6&lt;=5,Premissas!$B$50,IF($A69-$D$6&lt;=8,Premissas!$B$51,$G$6)))+IF($A69=1+$D$6,Premissas!$B$55,IF($A69=3+$D$6,Premissas!$B$56,IF($A69=6+$D$6,Premissas!$B$57,0))))</f>
        <v>-53417.86390066012</v>
      </c>
      <c r="F69" s="77">
        <f>D69+E69</f>
        <v>70751.08968063304</v>
      </c>
      <c r="G69" s="77">
        <f>G68+F69</f>
        <v>339688.86116419104</v>
      </c>
      <c r="H69" s="78">
        <f>IF(F69&gt;0,$A69,9999)</f>
        <v>28.0</v>
      </c>
      <c r="I69" s="78">
        <f>IF(G69&gt;0,$A69,9999)</f>
        <v>28.0</v>
      </c>
      <c r="J69" s="76">
        <f>IF($A69-$D$7&lt;Premissas!$B$41,0,$C$7*(Premissas!$B$39+(Premissas!$B$40-Premissas!$B$39)*$A69/36)/(1+EXP(-$K$7*($A69-$D$7-$I$7))))</f>
        <v>533.9236024378847</v>
      </c>
      <c r="K69" s="77">
        <f>(J69*$B$7+IF($A69&gt;=Premissas!$B$46+$D$7,$F$7,0))*(1-$E$7)*(1-Premissas!$B$60)</f>
        <v>127232.36784669565</v>
      </c>
      <c r="L69" s="77">
        <f>-(J69*$J$7+MAX(0,J69-J68)*$H$7+IF($A69-$D$7&lt;=2,Premissas!$B$49,IF($A69-$D$7&lt;=5,Premissas!$B$50,IF($A69-$D$7&lt;=8,Premissas!$B$51,$G$7)))+IF($A69=1+$D$7,Premissas!$B$55,IF($A69=3+$D$7,Premissas!$B$56,IF($A69=6+$D$7,Premissas!$B$57,0))))</f>
        <v>-57658.830405926295</v>
      </c>
      <c r="M69" s="77">
        <f>K69+L69</f>
        <v>69573.53744076935</v>
      </c>
      <c r="N69" s="77">
        <f>N68+M69</f>
        <v>715728.8924068846</v>
      </c>
      <c r="O69" s="78">
        <f>IF(M69&gt;0,$A69,9999)</f>
        <v>28.0</v>
      </c>
      <c r="P69" s="78">
        <f>IF(N69&gt;0,$A69,9999)</f>
        <v>28.0</v>
      </c>
      <c r="Q69" s="76">
        <f>IF($A69-$D$8&lt;Premissas!$B$41,0,$C$8*(Premissas!$B$39+(Premissas!$B$40-Premissas!$B$39)*$A69/36)/(1+EXP(-$K$8*($A69-$D$8-$I$8))))</f>
        <v>533.9236024378847</v>
      </c>
      <c r="R69" s="77">
        <f>(Q69*$B$8+IF($A69&gt;=Premissas!$B$46+$D$8,$F$8,0))*(1-$E$8)*(1-Premissas!$B$60)</f>
        <v>169643.15712892753</v>
      </c>
      <c r="S69" s="77">
        <f>-(Q69*$J$8+MAX(0,Q69-Q68)*$H$8+IF($A69-$D$8&lt;=2,Premissas!$B$49,IF($A69-$D$8&lt;=5,Premissas!$B$50,IF($A69-$D$8&lt;=8,Premissas!$B$51,$G$8)))+IF($A69=1+$D$8,Premissas!$B$55,IF($A69=3+$D$8,Premissas!$B$56,IF($A69=6+$D$8,Premissas!$B$57,0))))</f>
        <v>-57658.830405926295</v>
      </c>
      <c r="T69" s="77">
        <f>R69+S69</f>
        <v>111984.32672300123</v>
      </c>
      <c r="U69" s="77">
        <f>U68+T69</f>
        <v>1373746.8576827487</v>
      </c>
      <c r="V69" s="78">
        <f>IF(T69&gt;0,$A69,9999)</f>
        <v>28.0</v>
      </c>
      <c r="W69" s="78">
        <f>IF(U69&gt;0,$A69,9999)</f>
        <v>28.0</v>
      </c>
      <c r="X69" s="76">
        <f>IF($A69-$D$9&lt;Premissas!$B$41,0,$C$9*(Premissas!$B$39+(Premissas!$B$40-Premissas!$B$39)*$A69/36)/(1+EXP(-$K$9*($A69-$D$9-$I$9))))</f>
        <v>533.9236024378847</v>
      </c>
      <c r="Y69" s="77">
        <f>(X69*$B$9+IF($A69&gt;=Premissas!$B$46+$D$9,$F$9,0))*(1-$E$9)*(1-Premissas!$B$60)</f>
        <v>135714.52570314202</v>
      </c>
      <c r="Z69" s="77">
        <f>-(X69*$J$9+MAX(0,X69-X68)*$H$9+IF($A69-$D$9&lt;=2,Premissas!$B$49,IF($A69-$D$9&lt;=5,Premissas!$B$50,IF($A69-$D$9&lt;=8,Premissas!$B$51,$G$9)))+IF($A69=1+$D$9,Premissas!$B$55,IF($A69=3+$D$9,Premissas!$B$56,IF($A69=6+$D$9,Premissas!$B$57,0))))</f>
        <v>-57658.830405926295</v>
      </c>
      <c r="AA69" s="77">
        <f>Y69+Z69</f>
        <v>78055.69529721572</v>
      </c>
      <c r="AB69" s="77">
        <f>AB68+AA69</f>
        <v>847332.4854620575</v>
      </c>
      <c r="AC69" s="78">
        <f>IF(AA69&gt;0,$A69,9999)</f>
        <v>28.0</v>
      </c>
      <c r="AD69" s="78">
        <f>IF(AB69&gt;0,$A69,9999)</f>
        <v>28.0</v>
      </c>
      <c r="AE69" s="76">
        <f>IF($A69-$D$10&lt;Premissas!$B$41,0,$C$10*(Premissas!$B$39+(Premissas!$B$40-Premissas!$B$39)*$A69/36)/(1+EXP(-$K$10*($A69-$D$10-$I$10))))</f>
        <v>533.9236024378847</v>
      </c>
      <c r="AF69" s="77">
        <f>(AE69*$B$10+IF($A69&gt;=Premissas!$B$46+$D$10,$F$10,0))*(1-$E$10)*(1-Premissas!$B$60)</f>
        <v>118750.20999024926</v>
      </c>
      <c r="AG69" s="77">
        <f>-(AE69*$J$10+MAX(0,AE69-AE68)*$H$10+IF($A69-$D$10&lt;=2,Premissas!$B$49,IF($A69-$D$10&lt;=5,Premissas!$B$50,IF($A69-$D$10&lt;=8,Premissas!$B$51,$G$10)))+IF($A69=1+$D$10,Premissas!$B$55,IF($A69=3+$D$10,Premissas!$B$56,IF($A69=6+$D$10,Premissas!$B$57,0))))</f>
        <v>-57658.830405926295</v>
      </c>
      <c r="AH69" s="77">
        <f>AF69+AG69</f>
        <v>61091.37958432297</v>
      </c>
      <c r="AI69" s="77">
        <f>AI68+AH69</f>
        <v>584125.2993517116</v>
      </c>
      <c r="AJ69" s="78">
        <f>IF(AH69&gt;0,$A69,9999)</f>
        <v>28.0</v>
      </c>
      <c r="AK69" s="78">
        <f>IF(AI69&gt;0,$A69,9999)</f>
        <v>28.0</v>
      </c>
      <c r="AL69" s="76">
        <f>IF($A69-$D$11&lt;Premissas!$B$41,0,$C$11*(Premissas!$B$39+(Premissas!$B$40-Premissas!$B$39)*$A69/36)/(1+EXP(-$K$11*($A69-$D$11-$I$11))))</f>
        <v>533.9236024378847</v>
      </c>
      <c r="AM69" s="77">
        <f>(AL69*$B$11+IF($A69&gt;=Premissas!$B$46+$D$11,$F$11,0))*(1-$E$11)*(1-Premissas!$B$60)</f>
        <v>101785.89427735652</v>
      </c>
      <c r="AN69" s="77">
        <f>-(AL69*$J$11+MAX(0,AL69-AL68)*$H$11+IF($A69-$D$11&lt;=2,Premissas!$B$49,IF($A69-$D$11&lt;=5,Premissas!$B$50,IF($A69-$D$11&lt;=8,Premissas!$B$51,$G$11)))+IF($A69=1+$D$11,Premissas!$B$55,IF($A69=3+$D$11,Premissas!$B$56,IF($A69=6+$D$11,Premissas!$B$57,0))))</f>
        <v>-57658.830405926295</v>
      </c>
      <c r="AO69" s="77">
        <f>AM69+AN69</f>
        <v>44127.063871430226</v>
      </c>
      <c r="AP69" s="77">
        <f>AP68+AO69</f>
        <v>320918.1132413661</v>
      </c>
      <c r="AQ69" s="78">
        <f>IF(AO69&gt;0,$A69,9999)</f>
        <v>28.0</v>
      </c>
      <c r="AR69" s="78">
        <f>IF(AP69&gt;0,$A69,9999)</f>
        <v>28.0</v>
      </c>
      <c r="AS69" s="76">
        <f>IF($A69-$D$12&lt;Premissas!$B$41,0,$C$12*(Premissas!$B$39+(Premissas!$B$40-Premissas!$B$39)*$A69/36)/(1+EXP(-$K$12*($A69-$D$12-$I$12))))</f>
        <v>533.9236024378847</v>
      </c>
      <c r="AT69" s="77">
        <f>(AS69*$B$12+IF($A69&gt;=Premissas!$B$46+$D$12,$F$12,0))*(1-$E$12)*(1-Premissas!$B$60)</f>
        <v>107210.23275527498</v>
      </c>
      <c r="AU69" s="77">
        <f>-(AS69*$J$12+MAX(0,AS69-AS68)*$H$12+IF($A69-$D$12&lt;=2,Premissas!$B$49,IF($A69-$D$12&lt;=5,Premissas!$B$50,IF($A69-$D$12&lt;=8,Premissas!$B$51,$G$12)))+IF($A69=1+$D$12,Premissas!$B$55,IF($A69=3+$D$12,Premissas!$B$56,IF($A69=6+$D$12,Premissas!$B$57,0))))</f>
        <v>-57658.830405926295</v>
      </c>
      <c r="AV69" s="77">
        <f>AT69+AU69</f>
        <v>49551.40234934868</v>
      </c>
      <c r="AW69" s="77">
        <f>AW68+AV69</f>
        <v>410703.1573186586</v>
      </c>
      <c r="AX69" s="78">
        <f>IF(AV69&gt;0,$A69,9999)</f>
        <v>28.0</v>
      </c>
      <c r="AY69" s="78">
        <f>IF(AW69&gt;0,$A69,9999)</f>
        <v>28.0</v>
      </c>
      <c r="AZ69" s="76">
        <f>IF($A69-$D$13&lt;Premissas!$B$41,0,$C$13*(Premissas!$B$39+(Premissas!$B$40-Premissas!$B$39)*$A69/36)/(1+EXP(-$K$13*($A69-$D$13-$I$13))))</f>
        <v>528.4516546204156</v>
      </c>
      <c r="BA69" s="77">
        <f>(AZ69*$B$13+IF($A69&gt;=Premissas!$B$46+$D$13,$F$13,0))*(1-$E$13)*(1-Premissas!$B$60)</f>
        <v>126005.28354862821</v>
      </c>
      <c r="BB69" s="77">
        <f>-(AZ69*$J$13+MAX(0,AZ69-AZ68)*$H$13+IF($A69-$D$13&lt;=2,Premissas!$B$49,IF($A69-$D$13&lt;=5,Premissas!$B$50,IF($A69-$D$13&lt;=8,Premissas!$B$51,$G$13)))+IF($A69=1+$D$13,Premissas!$B$55,IF($A69=3+$D$13,Premissas!$B$56,IF($A69=6+$D$13,Premissas!$B$57,0))))</f>
        <v>-57578.09638021598</v>
      </c>
      <c r="BC69" s="77">
        <f>BA69+BB69</f>
        <v>68427.18716841223</v>
      </c>
      <c r="BD69" s="77">
        <f>BD68+BC69</f>
        <v>331057.3474938894</v>
      </c>
      <c r="BE69" s="78">
        <f>IF(BC69&gt;0,$A69,9999)</f>
        <v>28.0</v>
      </c>
      <c r="BF69" s="78">
        <f>IF(BD69&gt;0,$A69,9999)</f>
        <v>28.0</v>
      </c>
      <c r="BG69" s="76">
        <f>IF($A69-$D$14&lt;Premissas!$B$41,0,$C$14*(Premissas!$B$39+(Premissas!$B$40-Premissas!$B$39)*$A69/36)/(1+EXP(-$K$14*($A69-$D$14-$I$14))))</f>
        <v>533.9236024378847</v>
      </c>
      <c r="BH69" s="77">
        <f>(BG69*$B$14+IF($A69&gt;=Premissas!$B$46+$D$14,$F$14,0))*(1-$E$14)*(1-Premissas!$B$60)</f>
        <v>127232.36784669565</v>
      </c>
      <c r="BI69" s="77">
        <f>-(BG69*$J$14+MAX(0,BG69-BG68)*$H$14+IF($A69-$D$14&lt;=2,Premissas!$B$49,IF($A69-$D$14&lt;=5,Premissas!$B$50,IF($A69-$D$14&lt;=8,Premissas!$B$51,$G$14)))+IF($A69=1+$D$14,Premissas!$B$55,IF($A69=3+$D$14,Premissas!$B$56,IF($A69=6+$D$14,Premissas!$B$57,0))))</f>
        <v>-47658.830405926295</v>
      </c>
      <c r="BJ69" s="77">
        <f>BH69+BI69</f>
        <v>79573.53744076935</v>
      </c>
      <c r="BK69" s="77">
        <f>BK68+BJ69</f>
        <v>915728.8924068846</v>
      </c>
      <c r="BL69" s="78">
        <f>IF(BJ69&gt;0,$A69,9999)</f>
        <v>28.0</v>
      </c>
      <c r="BM69" s="78">
        <f>IF(BK69&gt;0,$A69,9999)</f>
        <v>28.0</v>
      </c>
      <c r="BN69" s="76">
        <f>IF($A69-$D$15&lt;Premissas!$B$41,0,$C$15*(Premissas!$B$39+(Premissas!$B$40-Premissas!$B$39)*$A69/36)/(1+EXP(-$K$15*($A69-$D$15-$I$15))))</f>
        <v>178.9482031054752</v>
      </c>
      <c r="BO69" s="77">
        <f>(BN69*$B$15+IF($A69&gt;=Premissas!$B$46+$D$15,$F$15,0))*(1-$E$15)*(1-Premissas!$B$60)</f>
        <v>67084.47679064659</v>
      </c>
      <c r="BP69" s="77">
        <f>-(BN69*$J$15+MAX(0,BN69-BN68)*$H$15+IF($A69-$D$15&lt;=2,Premissas!$B$49,IF($A69-$D$15&lt;=5,Premissas!$B$50,IF($A69-$D$15&lt;=8,Premissas!$B$51,$G$15)))+IF($A69=1+$D$15,Premissas!$B$55,IF($A69=3+$D$15,Premissas!$B$56,IF($A69=6+$D$15,Premissas!$B$57,0))))</f>
        <v>-44208.931950330065</v>
      </c>
      <c r="BQ69" s="77">
        <f>BO69+BP69</f>
        <v>22875.54484031652</v>
      </c>
      <c r="BR69" s="77">
        <f>BR68+BQ69</f>
        <v>-175155.5694179045</v>
      </c>
      <c r="BS69" s="78">
        <f>IF(BQ69&gt;0,$A69,9999)</f>
        <v>28.0</v>
      </c>
      <c r="BT69" s="78">
        <f>IF(BR69&gt;0,$A69,9999)</f>
        <v>9999.0</v>
      </c>
      <c r="BU69" s="76">
        <f>IF($A69-$D$16&lt;Premissas!$B$41,0,$C$16*(Premissas!$B$39+(Premissas!$B$40-Premissas!$B$39)*$A69/36)/(1+EXP(-$K$16*($A69-$D$16-$I$16))))</f>
        <v>357.8964062109504</v>
      </c>
      <c r="BV69" s="77">
        <f>(BU69*$B$16+IF($A69&gt;=Premissas!$B$46+$D$16,$F$16,0))*(1-$E$16)*(1-Premissas!$B$60)</f>
        <v>80709.81982784056</v>
      </c>
      <c r="BW69" s="77">
        <f>-(BU69*$J$16+MAX(0,BU69-BU68)*$H$16+IF($A69-$D$16&lt;=2,Premissas!$B$49,IF($A69-$D$16&lt;=5,Premissas!$B$50,IF($A69-$D$16&lt;=8,Premissas!$B$51,$G$16)))+IF($A69=1+$D$16,Premissas!$B$55,IF($A69=3+$D$16,Premissas!$B$56,IF($A69=6+$D$16,Premissas!$B$57,0))))</f>
        <v>-53417.86390066012</v>
      </c>
      <c r="BX69" s="77">
        <f>BV69+BW69</f>
        <v>27291.95592718044</v>
      </c>
      <c r="BY69" s="77">
        <f>BY68+BX69</f>
        <v>-208225.0616473527</v>
      </c>
      <c r="BZ69" s="78">
        <f>IF(BX69&gt;0,$A69,9999)</f>
        <v>28.0</v>
      </c>
      <c r="CA69" s="78">
        <f>IF(BY69&gt;0,$A69,9999)</f>
        <v>9999.0</v>
      </c>
      <c r="CB69" s="76">
        <f>IF($A69-$D$17&lt;Premissas!$B$41,0,$C$17*(Premissas!$B$39+(Premissas!$B$40-Premissas!$B$39)*$A69/36)/(1+EXP(-$K$17*($A69-$D$17-$I$17))))</f>
        <v>159.4220604633515</v>
      </c>
      <c r="CC69" s="77">
        <f>(CB69*$B$17+IF($A69&gt;=Premissas!$B$46+$D$17,$F$17,0))*(1-$E$17)*(1-Premissas!$B$60)</f>
        <v>39556.16423707594</v>
      </c>
      <c r="CD69" s="77">
        <f>-(CB69*$J$17+MAX(0,CB69-CB68)*$H$17+IF($A69-$D$17&lt;=2,Premissas!$B$49,IF($A69-$D$17&lt;=5,Premissas!$B$50,IF($A69-$D$17&lt;=8,Premissas!$B$51,$G$17)))+IF($A69=1+$D$17,Premissas!$B$55,IF($A69=3+$D$17,Premissas!$B$56,IF($A69=6+$D$17,Premissas!$B$57,0))))</f>
        <v>-45615.24384609339</v>
      </c>
      <c r="CE69" s="77">
        <f>CC69+CD69</f>
        <v>-6059.079609017455</v>
      </c>
      <c r="CF69" s="77">
        <f>CF68+CE69</f>
        <v>-490712.04033138254</v>
      </c>
      <c r="CG69" s="78">
        <f>IF(CE69&gt;0,$A69,9999)</f>
        <v>9999.0</v>
      </c>
      <c r="CH69" s="78">
        <f>IF(CF69&gt;0,$A69,9999)</f>
        <v>9999.0</v>
      </c>
    </row>
    <row r="70">
      <c r="A70" s="14" t="n">
        <v>29</v>
      </c>
      <c r="C70" s="76">
        <f>IF($A70-$D$6&lt;Premissas!$B$41,0,$C$6*(Premissas!$B$39+(Premissas!$B$40-Premissas!$B$39)*$A70/36)/(1+EXP(-$K$6*($A70-$D$6-$I$6))))</f>
        <v>362.97512252938753</v>
      </c>
      <c r="D70" s="77">
        <f>(C70*$B$6+IF($A70&gt;=Premissas!$B$46+$D$6,$F$6,0))*(1-$E$6)*(1-Premissas!$B$60)</f>
        <v>125789.06408687463</v>
      </c>
      <c r="E70" s="77">
        <f>-(C70*$J$6+MAX(0,C70-C69)*$H$6+IF($A70-$D$6&lt;=2,Premissas!$B$49,IF($A70-$D$6&lt;=5,Premissas!$B$50,IF($A70-$D$6&lt;=8,Premissas!$B$51,$G$6)))+IF($A70=1+$D$6,Premissas!$B$55,IF($A70=3+$D$6,Premissas!$B$56,IF($A70=6+$D$6,Premissas!$B$57,0))))</f>
        <v>-53365.3670411973</v>
      </c>
      <c r="F70" s="77">
        <f>D70+E70</f>
        <v>72423.69704567733</v>
      </c>
      <c r="G70" s="77">
        <f>G69+F70</f>
        <v>412112.5582098684</v>
      </c>
      <c r="H70" s="78">
        <f>IF(F70&gt;0,$A70,9999)</f>
        <v>29.0</v>
      </c>
      <c r="I70" s="78">
        <f>IF(G70&gt;0,$A70,9999)</f>
        <v>29.0</v>
      </c>
      <c r="J70" s="76">
        <f>IF($A70-$D$7&lt;Premissas!$B$41,0,$C$7*(Premissas!$B$39+(Premissas!$B$40-Premissas!$B$39)*$A70/36)/(1+EXP(-$K$7*($A70-$D$7-$I$7))))</f>
        <v>538.5255825025657</v>
      </c>
      <c r="K70" s="77">
        <f>(J70*$B$7+IF($A70&gt;=Premissas!$B$46+$D$7,$F$7,0))*(1-$E$7)*(1-Premissas!$B$60)</f>
        <v>128264.36187620036</v>
      </c>
      <c r="L70" s="77">
        <f>-(J70*$J$7+MAX(0,J70-J69)*$H$7+IF($A70-$D$7&lt;=2,Premissas!$B$49,IF($A70-$D$7&lt;=5,Premissas!$B$50,IF($A70-$D$7&lt;=8,Premissas!$B$51,$G$7)))+IF($A70=1+$D$7,Premissas!$B$55,IF($A70=3+$D$7,Premissas!$B$56,IF($A70=6+$D$7,Premissas!$B$57,0))))</f>
        <v>-57848.17346834182</v>
      </c>
      <c r="M70" s="77">
        <f>K70+L70</f>
        <v>70416.18840785854</v>
      </c>
      <c r="N70" s="77">
        <f>N69+M70</f>
        <v>786145.0808147432</v>
      </c>
      <c r="O70" s="78">
        <f>IF(M70&gt;0,$A70,9999)</f>
        <v>29.0</v>
      </c>
      <c r="P70" s="78">
        <f>IF(N70&gt;0,$A70,9999)</f>
        <v>29.0</v>
      </c>
      <c r="Q70" s="76">
        <f>IF($A70-$D$8&lt;Premissas!$B$41,0,$C$8*(Premissas!$B$39+(Premissas!$B$40-Premissas!$B$39)*$A70/36)/(1+EXP(-$K$8*($A70-$D$8-$I$8))))</f>
        <v>538.5255825025657</v>
      </c>
      <c r="R70" s="77">
        <f>(Q70*$B$8+IF($A70&gt;=Premissas!$B$46+$D$8,$F$8,0))*(1-$E$8)*(1-Premissas!$B$60)</f>
        <v>171019.14916826715</v>
      </c>
      <c r="S70" s="77">
        <f>-(Q70*$J$8+MAX(0,Q70-Q69)*$H$8+IF($A70-$D$8&lt;=2,Premissas!$B$49,IF($A70-$D$8&lt;=5,Premissas!$B$50,IF($A70-$D$8&lt;=8,Premissas!$B$51,$G$8)))+IF($A70=1+$D$8,Premissas!$B$55,IF($A70=3+$D$8,Premissas!$B$56,IF($A70=6+$D$8,Premissas!$B$57,0))))</f>
        <v>-57848.17346834182</v>
      </c>
      <c r="T70" s="77">
        <f>R70+S70</f>
        <v>113170.97569992533</v>
      </c>
      <c r="U70" s="77">
        <f>U69+T70</f>
        <v>1486917.833382674</v>
      </c>
      <c r="V70" s="78">
        <f>IF(T70&gt;0,$A70,9999)</f>
        <v>29.0</v>
      </c>
      <c r="W70" s="78">
        <f>IF(U70&gt;0,$A70,9999)</f>
        <v>29.0</v>
      </c>
      <c r="X70" s="76">
        <f>IF($A70-$D$9&lt;Premissas!$B$41,0,$C$9*(Premissas!$B$39+(Premissas!$B$40-Premissas!$B$39)*$A70/36)/(1+EXP(-$K$9*($A70-$D$9-$I$9))))</f>
        <v>538.5255825025657</v>
      </c>
      <c r="Y70" s="77">
        <f>(X70*$B$9+IF($A70&gt;=Premissas!$B$46+$D$9,$F$9,0))*(1-$E$9)*(1-Premissas!$B$60)</f>
        <v>136815.3193346137</v>
      </c>
      <c r="Z70" s="77">
        <f>-(X70*$J$9+MAX(0,X70-X69)*$H$9+IF($A70-$D$9&lt;=2,Premissas!$B$49,IF($A70-$D$9&lt;=5,Premissas!$B$50,IF($A70-$D$9&lt;=8,Premissas!$B$51,$G$9)))+IF($A70=1+$D$9,Premissas!$B$55,IF($A70=3+$D$9,Premissas!$B$56,IF($A70=6+$D$9,Premissas!$B$57,0))))</f>
        <v>-57848.17346834182</v>
      </c>
      <c r="AA70" s="77">
        <f>Y70+Z70</f>
        <v>78967.1458662719</v>
      </c>
      <c r="AB70" s="77">
        <f>AB69+AA70</f>
        <v>926299.6313283294</v>
      </c>
      <c r="AC70" s="78">
        <f>IF(AA70&gt;0,$A70,9999)</f>
        <v>29.0</v>
      </c>
      <c r="AD70" s="78">
        <f>IF(AB70&gt;0,$A70,9999)</f>
        <v>29.0</v>
      </c>
      <c r="AE70" s="76">
        <f>IF($A70-$D$10&lt;Premissas!$B$41,0,$C$10*(Premissas!$B$39+(Premissas!$B$40-Premissas!$B$39)*$A70/36)/(1+EXP(-$K$10*($A70-$D$10-$I$10))))</f>
        <v>538.5255825025657</v>
      </c>
      <c r="AF70" s="77">
        <f>(AE70*$B$10+IF($A70&gt;=Premissas!$B$46+$D$10,$F$10,0))*(1-$E$10)*(1-Premissas!$B$60)</f>
        <v>119713.404417787</v>
      </c>
      <c r="AG70" s="77">
        <f>-(AE70*$J$10+MAX(0,AE70-AE69)*$H$10+IF($A70-$D$10&lt;=2,Premissas!$B$49,IF($A70-$D$10&lt;=5,Premissas!$B$50,IF($A70-$D$10&lt;=8,Premissas!$B$51,$G$10)))+IF($A70=1+$D$10,Premissas!$B$55,IF($A70=3+$D$10,Premissas!$B$56,IF($A70=6+$D$10,Premissas!$B$57,0))))</f>
        <v>-57848.17346834182</v>
      </c>
      <c r="AH70" s="77">
        <f>AF70+AG70</f>
        <v>61865.23094944518</v>
      </c>
      <c r="AI70" s="77">
        <f>AI69+AH70</f>
        <v>645990.5303011568</v>
      </c>
      <c r="AJ70" s="78">
        <f>IF(AH70&gt;0,$A70,9999)</f>
        <v>29.0</v>
      </c>
      <c r="AK70" s="78">
        <f>IF(AI70&gt;0,$A70,9999)</f>
        <v>29.0</v>
      </c>
      <c r="AL70" s="76">
        <f>IF($A70-$D$11&lt;Premissas!$B$41,0,$C$11*(Premissas!$B$39+(Premissas!$B$40-Premissas!$B$39)*$A70/36)/(1+EXP(-$K$11*($A70-$D$11-$I$11))))</f>
        <v>538.5255825025657</v>
      </c>
      <c r="AM70" s="77">
        <f>(AL70*$B$11+IF($A70&gt;=Premissas!$B$46+$D$11,$F$11,0))*(1-$E$11)*(1-Premissas!$B$60)</f>
        <v>102611.48950096029</v>
      </c>
      <c r="AN70" s="77">
        <f>-(AL70*$J$11+MAX(0,AL70-AL69)*$H$11+IF($A70-$D$11&lt;=2,Premissas!$B$49,IF($A70-$D$11&lt;=5,Premissas!$B$50,IF($A70-$D$11&lt;=8,Premissas!$B$51,$G$11)))+IF($A70=1+$D$11,Premissas!$B$55,IF($A70=3+$D$11,Premissas!$B$56,IF($A70=6+$D$11,Premissas!$B$57,0))))</f>
        <v>-57848.17346834182</v>
      </c>
      <c r="AO70" s="77">
        <f>AM70+AN70</f>
        <v>44763.31603261847</v>
      </c>
      <c r="AP70" s="77">
        <f>AP69+AO70</f>
        <v>365681.42927398457</v>
      </c>
      <c r="AQ70" s="78">
        <f>IF(AO70&gt;0,$A70,9999)</f>
        <v>29.0</v>
      </c>
      <c r="AR70" s="78">
        <f>IF(AP70&gt;0,$A70,9999)</f>
        <v>29.0</v>
      </c>
      <c r="AS70" s="76">
        <f>IF($A70-$D$12&lt;Premissas!$B$41,0,$C$12*(Premissas!$B$39+(Premissas!$B$40-Premissas!$B$39)*$A70/36)/(1+EXP(-$K$12*($A70-$D$12-$I$12))))</f>
        <v>538.5255825025657</v>
      </c>
      <c r="AT70" s="77">
        <f>(AS70*$B$12+IF($A70&gt;=Premissas!$B$46+$D$12,$F$12,0))*(1-$E$12)*(1-Premissas!$B$60)</f>
        <v>108069.65253235414</v>
      </c>
      <c r="AU70" s="77">
        <f>-(AS70*$J$12+MAX(0,AS70-AS69)*$H$12+IF($A70-$D$12&lt;=2,Premissas!$B$49,IF($A70-$D$12&lt;=5,Premissas!$B$50,IF($A70-$D$12&lt;=8,Premissas!$B$51,$G$12)))+IF($A70=1+$D$12,Premissas!$B$55,IF($A70=3+$D$12,Premissas!$B$56,IF($A70=6+$D$12,Premissas!$B$57,0))))</f>
        <v>-57848.17346834182</v>
      </c>
      <c r="AV70" s="77">
        <f>AT70+AU70</f>
        <v>50221.479064012325</v>
      </c>
      <c r="AW70" s="77">
        <f>AW69+AV70</f>
        <v>460924.63638267096</v>
      </c>
      <c r="AX70" s="78">
        <f>IF(AV70&gt;0,$A70,9999)</f>
        <v>29.0</v>
      </c>
      <c r="AY70" s="78">
        <f>IF(AW70&gt;0,$A70,9999)</f>
        <v>29.0</v>
      </c>
      <c r="AZ70" s="76">
        <f>IF($A70-$D$13&lt;Premissas!$B$41,0,$C$13*(Premissas!$B$39+(Premissas!$B$40-Premissas!$B$39)*$A70/36)/(1+EXP(-$K$13*($A70-$D$13-$I$13))))</f>
        <v>534.9923746806567</v>
      </c>
      <c r="BA70" s="77">
        <f>(AZ70*$B$13+IF($A70&gt;=Premissas!$B$46+$D$13,$F$13,0))*(1-$E$13)*(1-Premissas!$B$60)</f>
        <v>127472.04002213725</v>
      </c>
      <c r="BB70" s="77">
        <f>-(AZ70*$J$13+MAX(0,AZ70-AZ69)*$H$13+IF($A70-$D$13&lt;=2,Premissas!$B$49,IF($A70-$D$13&lt;=5,Premissas!$B$50,IF($A70-$D$13&lt;=8,Premissas!$B$51,$G$13)))+IF($A70=1+$D$13,Premissas!$B$55,IF($A70=3+$D$13,Premissas!$B$56,IF($A70=6+$D$13,Premissas!$B$57,0))))</f>
        <v>-57796.71573959963</v>
      </c>
      <c r="BC70" s="77">
        <f>BA70+BB70</f>
        <v>69675.32428253762</v>
      </c>
      <c r="BD70" s="77">
        <f>BD69+BC70</f>
        <v>400732.671776427</v>
      </c>
      <c r="BE70" s="78">
        <f>IF(BC70&gt;0,$A70,9999)</f>
        <v>29.0</v>
      </c>
      <c r="BF70" s="78">
        <f>IF(BD70&gt;0,$A70,9999)</f>
        <v>29.0</v>
      </c>
      <c r="BG70" s="76">
        <f>IF($A70-$D$14&lt;Premissas!$B$41,0,$C$14*(Premissas!$B$39+(Premissas!$B$40-Premissas!$B$39)*$A70/36)/(1+EXP(-$K$14*($A70-$D$14-$I$14))))</f>
        <v>538.5255825025657</v>
      </c>
      <c r="BH70" s="77">
        <f>(BG70*$B$14+IF($A70&gt;=Premissas!$B$46+$D$14,$F$14,0))*(1-$E$14)*(1-Premissas!$B$60)</f>
        <v>128264.36187620036</v>
      </c>
      <c r="BI70" s="77">
        <f>-(BG70*$J$14+MAX(0,BG70-BG69)*$H$14+IF($A70-$D$14&lt;=2,Premissas!$B$49,IF($A70-$D$14&lt;=5,Premissas!$B$50,IF($A70-$D$14&lt;=8,Premissas!$B$51,$G$14)))+IF($A70=1+$D$14,Premissas!$B$55,IF($A70=3+$D$14,Premissas!$B$56,IF($A70=6+$D$14,Premissas!$B$57,0))))</f>
        <v>-47848.17346834182</v>
      </c>
      <c r="BJ70" s="77">
        <f>BH70+BI70</f>
        <v>80416.18840785854</v>
      </c>
      <c r="BK70" s="77">
        <f>BK69+BJ70</f>
        <v>996145.0808147432</v>
      </c>
      <c r="BL70" s="78">
        <f>IF(BJ70&gt;0,$A70,9999)</f>
        <v>29.0</v>
      </c>
      <c r="BM70" s="78">
        <f>IF(BK70&gt;0,$A70,9999)</f>
        <v>29.0</v>
      </c>
      <c r="BN70" s="76">
        <f>IF($A70-$D$15&lt;Premissas!$B$41,0,$C$15*(Premissas!$B$39+(Premissas!$B$40-Premissas!$B$39)*$A70/36)/(1+EXP(-$K$15*($A70-$D$15-$I$15))))</f>
        <v>181.48756126469377</v>
      </c>
      <c r="BO70" s="77">
        <f>(BN70*$B$15+IF($A70&gt;=Premissas!$B$46+$D$15,$F$15,0))*(1-$E$15)*(1-Premissas!$B$60)</f>
        <v>67894.53204343731</v>
      </c>
      <c r="BP70" s="77">
        <f>-(BN70*$J$15+MAX(0,BN70-BN69)*$H$15+IF($A70-$D$15&lt;=2,Premissas!$B$49,IF($A70-$D$15&lt;=5,Premissas!$B$50,IF($A70-$D$15&lt;=8,Premissas!$B$51,$G$15)))+IF($A70=1+$D$15,Premissas!$B$55,IF($A70=3+$D$15,Premissas!$B$56,IF($A70=6+$D$15,Premissas!$B$57,0))))</f>
        <v>-44182.68352059865</v>
      </c>
      <c r="BQ70" s="77">
        <f>BO70+BP70</f>
        <v>23711.848522838663</v>
      </c>
      <c r="BR70" s="77">
        <f>BR69+BQ70</f>
        <v>-151443.72089506584</v>
      </c>
      <c r="BS70" s="78">
        <f>IF(BQ70&gt;0,$A70,9999)</f>
        <v>29.0</v>
      </c>
      <c r="BT70" s="78">
        <f>IF(BR70&gt;0,$A70,9999)</f>
        <v>9999.0</v>
      </c>
      <c r="BU70" s="76">
        <f>IF($A70-$D$16&lt;Premissas!$B$41,0,$C$16*(Premissas!$B$39+(Premissas!$B$40-Premissas!$B$39)*$A70/36)/(1+EXP(-$K$16*($A70-$D$16-$I$16))))</f>
        <v>362.97512252938753</v>
      </c>
      <c r="BV70" s="77">
        <f>(BU70*$B$16+IF($A70&gt;=Premissas!$B$46+$D$16,$F$16,0))*(1-$E$16)*(1-Premissas!$B$60)</f>
        <v>81762.8916564685</v>
      </c>
      <c r="BW70" s="77">
        <f>-(BU70*$J$16+MAX(0,BU70-BU69)*$H$16+IF($A70-$D$16&lt;=2,Premissas!$B$49,IF($A70-$D$16&lt;=5,Premissas!$B$50,IF($A70-$D$16&lt;=8,Premissas!$B$51,$G$16)))+IF($A70=1+$D$16,Premissas!$B$55,IF($A70=3+$D$16,Premissas!$B$56,IF($A70=6+$D$16,Premissas!$B$57,0))))</f>
        <v>-53365.3670411973</v>
      </c>
      <c r="BX70" s="77">
        <f>BV70+BW70</f>
        <v>28397.524615271206</v>
      </c>
      <c r="BY70" s="77">
        <f>BY69+BX70</f>
        <v>-179827.5370320815</v>
      </c>
      <c r="BZ70" s="78">
        <f>IF(BX70&gt;0,$A70,9999)</f>
        <v>29.0</v>
      </c>
      <c r="CA70" s="78">
        <f>IF(BY70&gt;0,$A70,9999)</f>
        <v>9999.0</v>
      </c>
      <c r="CB70" s="76">
        <f>IF($A70-$D$17&lt;Premissas!$B$41,0,$C$17*(Premissas!$B$39+(Premissas!$B$40-Premissas!$B$39)*$A70/36)/(1+EXP(-$K$17*($A70-$D$17-$I$17))))</f>
        <v>166.5856768775043</v>
      </c>
      <c r="CC70" s="77">
        <f>(CB70*$B$17+IF($A70&gt;=Premissas!$B$46+$D$17,$F$17,0))*(1-$E$17)*(1-Premissas!$B$60)</f>
        <v>41041.54010055052</v>
      </c>
      <c r="CD70" s="77">
        <f>-(CB70*$J$17+MAX(0,CB70-CB69)*$H$17+IF($A70-$D$17&lt;=2,Premissas!$B$49,IF($A70-$D$17&lt;=5,Premissas!$B$50,IF($A70-$D$17&lt;=8,Premissas!$B$51,$G$17)))+IF($A70=1+$D$17,Premissas!$B$55,IF($A70=3+$D$17,Premissas!$B$56,IF($A70=6+$D$17,Premissas!$B$57,0))))</f>
        <v>-45361.80202514882</v>
      </c>
      <c r="CE70" s="77">
        <f>CC70+CD70</f>
        <v>-4320.2619245983005</v>
      </c>
      <c r="CF70" s="77">
        <f>CF69+CE70</f>
        <v>-495032.30225598085</v>
      </c>
      <c r="CG70" s="78">
        <f>IF(CE70&gt;0,$A70,9999)</f>
        <v>9999.0</v>
      </c>
      <c r="CH70" s="78">
        <f>IF(CF70&gt;0,$A70,9999)</f>
        <v>9999.0</v>
      </c>
    </row>
    <row r="71">
      <c r="A71" s="14" t="n">
        <v>30</v>
      </c>
      <c r="C71" s="76">
        <f>IF($A71-$D$6&lt;Premissas!$B$41,0,$C$6*(Premissas!$B$39+(Premissas!$B$40-Premissas!$B$39)*$A71/36)/(1+EXP(-$K$6*($A71-$D$6-$I$6))))</f>
        <v>367.52633882355707</v>
      </c>
      <c r="D71" s="77">
        <f>(C71*$B$6+IF($A71&gt;=Premissas!$B$46+$D$6,$F$6,0))*(1-$E$6)*(1-Premissas!$B$60)</f>
        <v>127240.9020847147</v>
      </c>
      <c r="E71" s="77">
        <f>-(C71*$J$6+MAX(0,C71-C70)*$H$6+IF($A71-$D$6&lt;=2,Premissas!$B$49,IF($A71-$D$6&lt;=5,Premissas!$B$50,IF($A71-$D$6&lt;=8,Premissas!$B$51,$G$6)))+IF($A71=1+$D$6,Premissas!$B$55,IF($A71=3+$D$6,Premissas!$B$56,IF($A71=6+$D$6,Premissas!$B$57,0))))</f>
        <v>-53359.171764727886</v>
      </c>
      <c r="F71" s="77">
        <f>D71+E71</f>
        <v>73881.73031998682</v>
      </c>
      <c r="G71" s="77">
        <f>G70+F71</f>
        <v>485994.2885298552</v>
      </c>
      <c r="H71" s="78">
        <f>IF(F71&gt;0,$A71,9999)</f>
        <v>30.0</v>
      </c>
      <c r="I71" s="78">
        <f>IF(G71&gt;0,$A71,9999)</f>
        <v>30.0</v>
      </c>
      <c r="J71" s="76">
        <f>IF($A71-$D$7&lt;Premissas!$B$41,0,$C$7*(Premissas!$B$39+(Premissas!$B$40-Premissas!$B$39)*$A71/36)/(1+EXP(-$K$7*($A71-$D$7-$I$7))))</f>
        <v>543.0768215963287</v>
      </c>
      <c r="K71" s="77">
        <f>(J71*$B$7+IF($A71&gt;=Premissas!$B$46+$D$7,$F$7,0))*(1-$E$7)*(1-Premissas!$B$60)</f>
        <v>129284.97724297672</v>
      </c>
      <c r="L71" s="77">
        <f>-(J71*$J$7+MAX(0,J71-J70)*$H$7+IF($A71-$D$7&lt;=2,Premissas!$B$49,IF($A71-$D$7&lt;=5,Premissas!$B$50,IF($A71-$D$7&lt;=8,Premissas!$B$51,$G$7)))+IF($A71=1+$D$7,Premissas!$B$55,IF($A71=3+$D$7,Premissas!$B$56,IF($A71=6+$D$7,Premissas!$B$57,0))))</f>
        <v>-58036.78846173396</v>
      </c>
      <c r="M71" s="77">
        <f>K71+L71</f>
        <v>71248.18878124276</v>
      </c>
      <c r="N71" s="77">
        <f>N70+M71</f>
        <v>857393.269595986</v>
      </c>
      <c r="O71" s="78">
        <f>IF(M71&gt;0,$A71,9999)</f>
        <v>30.0</v>
      </c>
      <c r="P71" s="78">
        <f>IF(N71&gt;0,$A71,9999)</f>
        <v>30.0</v>
      </c>
      <c r="Q71" s="76">
        <f>IF($A71-$D$8&lt;Premissas!$B$41,0,$C$8*(Premissas!$B$39+(Premissas!$B$40-Premissas!$B$39)*$A71/36)/(1+EXP(-$K$8*($A71-$D$8-$I$8))))</f>
        <v>543.0768215963287</v>
      </c>
      <c r="R71" s="77">
        <f>(Q71*$B$8+IF($A71&gt;=Premissas!$B$46+$D$8,$F$8,0))*(1-$E$8)*(1-Premissas!$B$60)</f>
        <v>172379.96965730228</v>
      </c>
      <c r="S71" s="77">
        <f>-(Q71*$J$8+MAX(0,Q71-Q70)*$H$8+IF($A71-$D$8&lt;=2,Premissas!$B$49,IF($A71-$D$8&lt;=5,Premissas!$B$50,IF($A71-$D$8&lt;=8,Premissas!$B$51,$G$8)))+IF($A71=1+$D$8,Premissas!$B$55,IF($A71=3+$D$8,Premissas!$B$56,IF($A71=6+$D$8,Premissas!$B$57,0))))</f>
        <v>-58036.78846173396</v>
      </c>
      <c r="T71" s="77">
        <f>R71+S71</f>
        <v>114343.18119556832</v>
      </c>
      <c r="U71" s="77">
        <f>U70+T71</f>
        <v>1601261.0145782423</v>
      </c>
      <c r="V71" s="78">
        <f>IF(T71&gt;0,$A71,9999)</f>
        <v>30.0</v>
      </c>
      <c r="W71" s="78">
        <f>IF(U71&gt;0,$A71,9999)</f>
        <v>30.0</v>
      </c>
      <c r="X71" s="76">
        <f>IF($A71-$D$9&lt;Premissas!$B$41,0,$C$9*(Premissas!$B$39+(Premissas!$B$40-Premissas!$B$39)*$A71/36)/(1+EXP(-$K$9*($A71-$D$9-$I$9))))</f>
        <v>543.0768215963287</v>
      </c>
      <c r="Y71" s="77">
        <f>(X71*$B$9+IF($A71&gt;=Premissas!$B$46+$D$9,$F$9,0))*(1-$E$9)*(1-Premissas!$B$60)</f>
        <v>137903.97572584182</v>
      </c>
      <c r="Z71" s="77">
        <f>-(X71*$J$9+MAX(0,X71-X70)*$H$9+IF($A71-$D$9&lt;=2,Premissas!$B$49,IF($A71-$D$9&lt;=5,Premissas!$B$50,IF($A71-$D$9&lt;=8,Premissas!$B$51,$G$9)))+IF($A71=1+$D$9,Premissas!$B$55,IF($A71=3+$D$9,Premissas!$B$56,IF($A71=6+$D$9,Premissas!$B$57,0))))</f>
        <v>-58036.78846173396</v>
      </c>
      <c r="AA71" s="77">
        <f>Y71+Z71</f>
        <v>79867.18726410787</v>
      </c>
      <c r="AB71" s="77">
        <f>AB70+AA71</f>
        <v>1006166.8185924373</v>
      </c>
      <c r="AC71" s="78">
        <f>IF(AA71&gt;0,$A71,9999)</f>
        <v>30.0</v>
      </c>
      <c r="AD71" s="78">
        <f>IF(AB71&gt;0,$A71,9999)</f>
        <v>30.0</v>
      </c>
      <c r="AE71" s="76">
        <f>IF($A71-$D$10&lt;Premissas!$B$41,0,$C$10*(Premissas!$B$39+(Premissas!$B$40-Premissas!$B$39)*$A71/36)/(1+EXP(-$K$10*($A71-$D$10-$I$10))))</f>
        <v>543.0768215963287</v>
      </c>
      <c r="AF71" s="77">
        <f>(AE71*$B$10+IF($A71&gt;=Premissas!$B$46+$D$10,$F$10,0))*(1-$E$10)*(1-Premissas!$B$60)</f>
        <v>120665.97876011158</v>
      </c>
      <c r="AG71" s="77">
        <f>-(AE71*$J$10+MAX(0,AE71-AE70)*$H$10+IF($A71-$D$10&lt;=2,Premissas!$B$49,IF($A71-$D$10&lt;=5,Premissas!$B$50,IF($A71-$D$10&lt;=8,Premissas!$B$51,$G$10)))+IF($A71=1+$D$10,Premissas!$B$55,IF($A71=3+$D$10,Premissas!$B$56,IF($A71=6+$D$10,Premissas!$B$57,0))))</f>
        <v>-58036.78846173396</v>
      </c>
      <c r="AH71" s="77">
        <f>AF71+AG71</f>
        <v>62629.19029837762</v>
      </c>
      <c r="AI71" s="77">
        <f>AI70+AH71</f>
        <v>708619.7205995345</v>
      </c>
      <c r="AJ71" s="78">
        <f>IF(AH71&gt;0,$A71,9999)</f>
        <v>30.0</v>
      </c>
      <c r="AK71" s="78">
        <f>IF(AI71&gt;0,$A71,9999)</f>
        <v>30.0</v>
      </c>
      <c r="AL71" s="76">
        <f>IF($A71-$D$11&lt;Premissas!$B$41,0,$C$11*(Premissas!$B$39+(Premissas!$B$40-Premissas!$B$39)*$A71/36)/(1+EXP(-$K$11*($A71-$D$11-$I$11))))</f>
        <v>543.0768215963287</v>
      </c>
      <c r="AM71" s="77">
        <f>(AL71*$B$11+IF($A71&gt;=Premissas!$B$46+$D$11,$F$11,0))*(1-$E$11)*(1-Premissas!$B$60)</f>
        <v>103427.98179438137</v>
      </c>
      <c r="AN71" s="77">
        <f>-(AL71*$J$11+MAX(0,AL71-AL70)*$H$11+IF($A71-$D$11&lt;=2,Premissas!$B$49,IF($A71-$D$11&lt;=5,Premissas!$B$50,IF($A71-$D$11&lt;=8,Premissas!$B$51,$G$11)))+IF($A71=1+$D$11,Premissas!$B$55,IF($A71=3+$D$11,Premissas!$B$56,IF($A71=6+$D$11,Premissas!$B$57,0))))</f>
        <v>-58036.78846173396</v>
      </c>
      <c r="AO71" s="77">
        <f>AM71+AN71</f>
        <v>45391.19333264741</v>
      </c>
      <c r="AP71" s="77">
        <f>AP70+AO71</f>
        <v>411072.62260663195</v>
      </c>
      <c r="AQ71" s="78">
        <f>IF(AO71&gt;0,$A71,9999)</f>
        <v>30.0</v>
      </c>
      <c r="AR71" s="78">
        <f>IF(AP71&gt;0,$A71,9999)</f>
        <v>30.0</v>
      </c>
      <c r="AS71" s="76">
        <f>IF($A71-$D$12&lt;Premissas!$B$41,0,$C$12*(Premissas!$B$39+(Premissas!$B$40-Premissas!$B$39)*$A71/36)/(1+EXP(-$K$12*($A71-$D$12-$I$12))))</f>
        <v>543.0768215963287</v>
      </c>
      <c r="AT71" s="77">
        <f>(AS71*$B$12+IF($A71&gt;=Premissas!$B$46+$D$12,$F$12,0))*(1-$E$12)*(1-Premissas!$B$60)</f>
        <v>108919.59643311439</v>
      </c>
      <c r="AU71" s="77">
        <f>-(AS71*$J$12+MAX(0,AS71-AS70)*$H$12+IF($A71-$D$12&lt;=2,Premissas!$B$49,IF($A71-$D$12&lt;=5,Premissas!$B$50,IF($A71-$D$12&lt;=8,Premissas!$B$51,$G$12)))+IF($A71=1+$D$12,Premissas!$B$55,IF($A71=3+$D$12,Premissas!$B$56,IF($A71=6+$D$12,Premissas!$B$57,0))))</f>
        <v>-58036.78846173396</v>
      </c>
      <c r="AV71" s="77">
        <f>AT71+AU71</f>
        <v>50882.80797138043</v>
      </c>
      <c r="AW71" s="77">
        <f>AW70+AV71</f>
        <v>511807.4443540514</v>
      </c>
      <c r="AX71" s="78">
        <f>IF(AV71&gt;0,$A71,9999)</f>
        <v>30.0</v>
      </c>
      <c r="AY71" s="78">
        <f>IF(AW71&gt;0,$A71,9999)</f>
        <v>30.0</v>
      </c>
      <c r="AZ71" s="76">
        <f>IF($A71-$D$13&lt;Premissas!$B$41,0,$C$13*(Premissas!$B$39+(Premissas!$B$40-Premissas!$B$39)*$A71/36)/(1+EXP(-$K$13*($A71-$D$13-$I$13))))</f>
        <v>540.7991037409284</v>
      </c>
      <c r="BA71" s="77">
        <f>(AZ71*$B$13+IF($A71&gt;=Premissas!$B$46+$D$13,$F$13,0))*(1-$E$13)*(1-Premissas!$B$60)</f>
        <v>128774.1990139032</v>
      </c>
      <c r="BB71" s="77">
        <f>-(AZ71*$J$13+MAX(0,AZ71-AZ70)*$H$13+IF($A71-$D$13&lt;=2,Premissas!$B$49,IF($A71-$D$13&lt;=5,Premissas!$B$50,IF($A71-$D$13&lt;=8,Premissas!$B$51,$G$13)))+IF($A71=1+$D$13,Premissas!$B$55,IF($A71=3+$D$13,Premissas!$B$56,IF($A71=6+$D$13,Premissas!$B$57,0))))</f>
        <v>-58003.89881013258</v>
      </c>
      <c r="BC71" s="77">
        <f>BA71+BB71</f>
        <v>70770.30020377062</v>
      </c>
      <c r="BD71" s="77">
        <f>BD70+BC71</f>
        <v>471502.97198019765</v>
      </c>
      <c r="BE71" s="78">
        <f>IF(BC71&gt;0,$A71,9999)</f>
        <v>30.0</v>
      </c>
      <c r="BF71" s="78">
        <f>IF(BD71&gt;0,$A71,9999)</f>
        <v>30.0</v>
      </c>
      <c r="BG71" s="76">
        <f>IF($A71-$D$14&lt;Premissas!$B$41,0,$C$14*(Premissas!$B$39+(Premissas!$B$40-Premissas!$B$39)*$A71/36)/(1+EXP(-$K$14*($A71-$D$14-$I$14))))</f>
        <v>543.0768215963287</v>
      </c>
      <c r="BH71" s="77">
        <f>(BG71*$B$14+IF($A71&gt;=Premissas!$B$46+$D$14,$F$14,0))*(1-$E$14)*(1-Premissas!$B$60)</f>
        <v>129284.97724297672</v>
      </c>
      <c r="BI71" s="77">
        <f>-(BG71*$J$14+MAX(0,BG71-BG70)*$H$14+IF($A71-$D$14&lt;=2,Premissas!$B$49,IF($A71-$D$14&lt;=5,Premissas!$B$50,IF($A71-$D$14&lt;=8,Premissas!$B$51,$G$14)))+IF($A71=1+$D$14,Premissas!$B$55,IF($A71=3+$D$14,Premissas!$B$56,IF($A71=6+$D$14,Premissas!$B$57,0))))</f>
        <v>-48036.78846173396</v>
      </c>
      <c r="BJ71" s="77">
        <f>BH71+BI71</f>
        <v>81248.18878124276</v>
      </c>
      <c r="BK71" s="77">
        <f>BK70+BJ71</f>
        <v>1077393.269595986</v>
      </c>
      <c r="BL71" s="78">
        <f>IF(BJ71&gt;0,$A71,9999)</f>
        <v>30.0</v>
      </c>
      <c r="BM71" s="78">
        <f>IF(BK71&gt;0,$A71,9999)</f>
        <v>30.0</v>
      </c>
      <c r="BN71" s="76">
        <f>IF($A71-$D$15&lt;Premissas!$B$41,0,$C$15*(Premissas!$B$39+(Premissas!$B$40-Premissas!$B$39)*$A71/36)/(1+EXP(-$K$15*($A71-$D$15-$I$15))))</f>
        <v>183.76316941177853</v>
      </c>
      <c r="BO71" s="77">
        <f>(BN71*$B$15+IF($A71&gt;=Premissas!$B$46+$D$15,$F$15,0))*(1-$E$15)*(1-Premissas!$B$60)</f>
        <v>68620.45104235735</v>
      </c>
      <c r="BP71" s="77">
        <f>-(BN71*$J$15+MAX(0,BN71-BN70)*$H$15+IF($A71-$D$15&lt;=2,Premissas!$B$49,IF($A71-$D$15&lt;=5,Premissas!$B$50,IF($A71-$D$15&lt;=8,Premissas!$B$51,$G$15)))+IF($A71=1+$D$15,Premissas!$B$55,IF($A71=3+$D$15,Premissas!$B$56,IF($A71=6+$D$15,Premissas!$B$57,0))))</f>
        <v>-44179.58588236394</v>
      </c>
      <c r="BQ71" s="77">
        <f>BO71+BP71</f>
        <v>24440.86515999341</v>
      </c>
      <c r="BR71" s="77">
        <f>BR70+BQ71</f>
        <v>-127002.85573507243</v>
      </c>
      <c r="BS71" s="78">
        <f>IF(BQ71&gt;0,$A71,9999)</f>
        <v>30.0</v>
      </c>
      <c r="BT71" s="78">
        <f>IF(BR71&gt;0,$A71,9999)</f>
        <v>9999.0</v>
      </c>
      <c r="BU71" s="76">
        <f>IF($A71-$D$16&lt;Premissas!$B$41,0,$C$16*(Premissas!$B$39+(Premissas!$B$40-Premissas!$B$39)*$A71/36)/(1+EXP(-$K$16*($A71-$D$16-$I$16))))</f>
        <v>367.52633882355707</v>
      </c>
      <c r="BV71" s="77">
        <f>(BU71*$B$16+IF($A71&gt;=Premissas!$B$46+$D$16,$F$16,0))*(1-$E$16)*(1-Premissas!$B$60)</f>
        <v>82706.58635506456</v>
      </c>
      <c r="BW71" s="77">
        <f>-(BU71*$J$16+MAX(0,BU71-BU70)*$H$16+IF($A71-$D$16&lt;=2,Premissas!$B$49,IF($A71-$D$16&lt;=5,Premissas!$B$50,IF($A71-$D$16&lt;=8,Premissas!$B$51,$G$16)))+IF($A71=1+$D$16,Premissas!$B$55,IF($A71=3+$D$16,Premissas!$B$56,IF($A71=6+$D$16,Premissas!$B$57,0))))</f>
        <v>-53359.171764727886</v>
      </c>
      <c r="BX71" s="77">
        <f>BV71+BW71</f>
        <v>29347.414590336673</v>
      </c>
      <c r="BY71" s="77">
        <f>BY70+BX71</f>
        <v>-150480.12244174484</v>
      </c>
      <c r="BZ71" s="78">
        <f>IF(BX71&gt;0,$A71,9999)</f>
        <v>30.0</v>
      </c>
      <c r="CA71" s="78">
        <f>IF(BY71&gt;0,$A71,9999)</f>
        <v>9999.0</v>
      </c>
      <c r="CB71" s="76">
        <f>IF($A71-$D$17&lt;Premissas!$B$41,0,$C$17*(Premissas!$B$39+(Premissas!$B$40-Premissas!$B$39)*$A71/36)/(1+EXP(-$K$17*($A71-$D$17-$I$17))))</f>
        <v>172.5099930933746</v>
      </c>
      <c r="CC71" s="77">
        <f>(CB71*$B$17+IF($A71&gt;=Premissas!$B$46+$D$17,$F$17,0))*(1-$E$17)*(1-Premissas!$B$60)</f>
        <v>42269.94706791122</v>
      </c>
      <c r="CD71" s="77">
        <f>-(CB71*$J$17+MAX(0,CB71-CB70)*$H$17+IF($A71-$D$17&lt;=2,Premissas!$B$49,IF($A71-$D$17&lt;=5,Premissas!$B$50,IF($A71-$D$17&lt;=8,Premissas!$B$51,$G$17)))+IF($A71=1+$D$17,Premissas!$B$55,IF($A71=3+$D$17,Premissas!$B$56,IF($A71=6+$D$17,Premissas!$B$57,0))))</f>
        <v>-45132.67617554997</v>
      </c>
      <c r="CE71" s="77">
        <f>CC71+CD71</f>
        <v>-2862.7291076387482</v>
      </c>
      <c r="CF71" s="77">
        <f>CF70+CE71</f>
        <v>-497895.0313636196</v>
      </c>
      <c r="CG71" s="78">
        <f>IF(CE71&gt;0,$A71,9999)</f>
        <v>9999.0</v>
      </c>
      <c r="CH71" s="78">
        <f>IF(CF71&gt;0,$A71,9999)</f>
        <v>9999.0</v>
      </c>
    </row>
    <row r="72">
      <c r="A72" s="14" t="n">
        <v>31</v>
      </c>
      <c r="C72" s="76">
        <f>IF($A72-$D$6&lt;Premissas!$B$41,0,$C$6*(Premissas!$B$39+(Premissas!$B$40-Premissas!$B$39)*$A72/36)/(1+EXP(-$K$6*($A72-$D$6-$I$6))))</f>
        <v>371.6841887004308</v>
      </c>
      <c r="D72" s="77">
        <f>(C72*$B$6+IF($A72&gt;=Premissas!$B$46+$D$6,$F$6,0))*(1-$E$6)*(1-Premissas!$B$60)</f>
        <v>128567.25619543743</v>
      </c>
      <c r="E72" s="77">
        <f>-(C72*$J$6+MAX(0,C72-C71)*$H$6+IF($A72-$D$6&lt;=2,Premissas!$B$49,IF($A72-$D$6&lt;=5,Premissas!$B$50,IF($A72-$D$6&lt;=8,Premissas!$B$51,$G$6)))+IF($A72=1+$D$6,Premissas!$B$55,IF($A72=3+$D$6,Premissas!$B$56,IF($A72=6+$D$6,Premissas!$B$57,0))))</f>
        <v>-53388.92844226888</v>
      </c>
      <c r="F72" s="77">
        <f>D72+E72</f>
        <v>75178.32775316855</v>
      </c>
      <c r="G72" s="77">
        <f>G71+F72</f>
        <v>561172.6162830237</v>
      </c>
      <c r="H72" s="78">
        <f>IF(F72&gt;0,$A72,9999)</f>
        <v>31.0</v>
      </c>
      <c r="I72" s="78">
        <f>IF(G72&gt;0,$A72,9999)</f>
        <v>31.0</v>
      </c>
      <c r="J72" s="76">
        <f>IF($A72-$D$7&lt;Premissas!$B$41,0,$C$7*(Premissas!$B$39+(Premissas!$B$40-Premissas!$B$39)*$A72/36)/(1+EXP(-$K$7*($A72-$D$7-$I$7))))</f>
        <v>547.595404481811</v>
      </c>
      <c r="K72" s="77">
        <f>(J72*$B$7+IF($A72&gt;=Premissas!$B$46+$D$7,$F$7,0))*(1-$E$7)*(1-Premissas!$B$60)</f>
        <v>130298.26945504612</v>
      </c>
      <c r="L72" s="77">
        <f>-(J72*$J$7+MAX(0,J72-J71)*$H$7+IF($A72-$D$7&lt;=2,Premissas!$B$49,IF($A72-$D$7&lt;=5,Premissas!$B$50,IF($A72-$D$7&lt;=8,Premissas!$B$51,$G$7)))+IF($A72=1+$D$7,Premissas!$B$55,IF($A72=3+$D$7,Premissas!$B$56,IF($A72=6+$D$7,Premissas!$B$57,0))))</f>
        <v>-58224.93613251018</v>
      </c>
      <c r="M72" s="77">
        <f>K72+L72</f>
        <v>72073.33332253594</v>
      </c>
      <c r="N72" s="77">
        <f>N71+M72</f>
        <v>929466.602918522</v>
      </c>
      <c r="O72" s="78">
        <f>IF(M72&gt;0,$A72,9999)</f>
        <v>31.0</v>
      </c>
      <c r="P72" s="78">
        <f>IF(N72&gt;0,$A72,9999)</f>
        <v>31.0</v>
      </c>
      <c r="Q72" s="76">
        <f>IF($A72-$D$8&lt;Premissas!$B$41,0,$C$8*(Premissas!$B$39+(Premissas!$B$40-Premissas!$B$39)*$A72/36)/(1+EXP(-$K$8*($A72-$D$8-$I$8))))</f>
        <v>547.595404481811</v>
      </c>
      <c r="R72" s="77">
        <f>(Q72*$B$8+IF($A72&gt;=Premissas!$B$46+$D$8,$F$8,0))*(1-$E$8)*(1-Premissas!$B$60)</f>
        <v>173731.0259400615</v>
      </c>
      <c r="S72" s="77">
        <f>-(Q72*$J$8+MAX(0,Q72-Q71)*$H$8+IF($A72-$D$8&lt;=2,Premissas!$B$49,IF($A72-$D$8&lt;=5,Premissas!$B$50,IF($A72-$D$8&lt;=8,Premissas!$B$51,$G$8)))+IF($A72=1+$D$8,Premissas!$B$55,IF($A72=3+$D$8,Premissas!$B$56,IF($A72=6+$D$8,Premissas!$B$57,0))))</f>
        <v>-58224.93613251018</v>
      </c>
      <c r="T72" s="77">
        <f>R72+S72</f>
        <v>115506.08980755131</v>
      </c>
      <c r="U72" s="77">
        <f>U71+T72</f>
        <v>1716767.1043857937</v>
      </c>
      <c r="V72" s="78">
        <f>IF(T72&gt;0,$A72,9999)</f>
        <v>31.0</v>
      </c>
      <c r="W72" s="78">
        <f>IF(U72&gt;0,$A72,9999)</f>
        <v>31.0</v>
      </c>
      <c r="X72" s="76">
        <f>IF($A72-$D$9&lt;Premissas!$B$41,0,$C$9*(Premissas!$B$39+(Premissas!$B$40-Premissas!$B$39)*$A72/36)/(1+EXP(-$K$9*($A72-$D$9-$I$9))))</f>
        <v>547.595404481811</v>
      </c>
      <c r="Y72" s="77">
        <f>(X72*$B$9+IF($A72&gt;=Premissas!$B$46+$D$9,$F$9,0))*(1-$E$9)*(1-Premissas!$B$60)</f>
        <v>138984.82075204919</v>
      </c>
      <c r="Z72" s="77">
        <f>-(X72*$J$9+MAX(0,X72-X71)*$H$9+IF($A72-$D$9&lt;=2,Premissas!$B$49,IF($A72-$D$9&lt;=5,Premissas!$B$50,IF($A72-$D$9&lt;=8,Premissas!$B$51,$G$9)))+IF($A72=1+$D$9,Premissas!$B$55,IF($A72=3+$D$9,Premissas!$B$56,IF($A72=6+$D$9,Premissas!$B$57,0))))</f>
        <v>-58224.93613251018</v>
      </c>
      <c r="AA72" s="77">
        <f>Y72+Z72</f>
        <v>80759.884619539</v>
      </c>
      <c r="AB72" s="77">
        <f>AB71+AA72</f>
        <v>1086926.7032119762</v>
      </c>
      <c r="AC72" s="78">
        <f>IF(AA72&gt;0,$A72,9999)</f>
        <v>31.0</v>
      </c>
      <c r="AD72" s="78">
        <f>IF(AB72&gt;0,$A72,9999)</f>
        <v>31.0</v>
      </c>
      <c r="AE72" s="76">
        <f>IF($A72-$D$10&lt;Premissas!$B$41,0,$C$10*(Premissas!$B$39+(Premissas!$B$40-Premissas!$B$39)*$A72/36)/(1+EXP(-$K$10*($A72-$D$10-$I$10))))</f>
        <v>547.595404481811</v>
      </c>
      <c r="AF72" s="77">
        <f>(AE72*$B$10+IF($A72&gt;=Premissas!$B$46+$D$10,$F$10,0))*(1-$E$10)*(1-Premissas!$B$60)</f>
        <v>121611.71815804303</v>
      </c>
      <c r="AG72" s="77">
        <f>-(AE72*$J$10+MAX(0,AE72-AE71)*$H$10+IF($A72-$D$10&lt;=2,Premissas!$B$49,IF($A72-$D$10&lt;=5,Premissas!$B$50,IF($A72-$D$10&lt;=8,Premissas!$B$51,$G$10)))+IF($A72=1+$D$10,Premissas!$B$55,IF($A72=3+$D$10,Premissas!$B$56,IF($A72=6+$D$10,Premissas!$B$57,0))))</f>
        <v>-58224.93613251018</v>
      </c>
      <c r="AH72" s="77">
        <f>AF72+AG72</f>
        <v>63386.782025532855</v>
      </c>
      <c r="AI72" s="77">
        <f>AI71+AH72</f>
        <v>772006.5026250673</v>
      </c>
      <c r="AJ72" s="78">
        <f>IF(AH72&gt;0,$A72,9999)</f>
        <v>31.0</v>
      </c>
      <c r="AK72" s="78">
        <f>IF(AI72&gt;0,$A72,9999)</f>
        <v>31.0</v>
      </c>
      <c r="AL72" s="76">
        <f>IF($A72-$D$11&lt;Premissas!$B$41,0,$C$11*(Premissas!$B$39+(Premissas!$B$40-Premissas!$B$39)*$A72/36)/(1+EXP(-$K$11*($A72-$D$11-$I$11))))</f>
        <v>547.595404481811</v>
      </c>
      <c r="AM72" s="77">
        <f>(AL72*$B$11+IF($A72&gt;=Premissas!$B$46+$D$11,$F$11,0))*(1-$E$11)*(1-Premissas!$B$60)</f>
        <v>104238.6155640369</v>
      </c>
      <c r="AN72" s="77">
        <f>-(AL72*$J$11+MAX(0,AL72-AL71)*$H$11+IF($A72-$D$11&lt;=2,Premissas!$B$49,IF($A72-$D$11&lt;=5,Premissas!$B$50,IF($A72-$D$11&lt;=8,Premissas!$B$51,$G$11)))+IF($A72=1+$D$11,Premissas!$B$55,IF($A72=3+$D$11,Premissas!$B$56,IF($A72=6+$D$11,Premissas!$B$57,0))))</f>
        <v>-58224.93613251018</v>
      </c>
      <c r="AO72" s="77">
        <f>AM72+AN72</f>
        <v>46013.67943152672</v>
      </c>
      <c r="AP72" s="77">
        <f>AP71+AO72</f>
        <v>457086.30203815864</v>
      </c>
      <c r="AQ72" s="78">
        <f>IF(AO72&gt;0,$A72,9999)</f>
        <v>31.0</v>
      </c>
      <c r="AR72" s="78">
        <f>IF(AP72&gt;0,$A72,9999)</f>
        <v>31.0</v>
      </c>
      <c r="AS72" s="76">
        <f>IF($A72-$D$12&lt;Premissas!$B$41,0,$C$12*(Premissas!$B$39+(Premissas!$B$40-Premissas!$B$39)*$A72/36)/(1+EXP(-$K$12*($A72-$D$12-$I$12))))</f>
        <v>547.595404481811</v>
      </c>
      <c r="AT72" s="77">
        <f>(AS72*$B$12+IF($A72&gt;=Premissas!$B$46+$D$12,$F$12,0))*(1-$E$12)*(1-Premissas!$B$60)</f>
        <v>109763.4417869782</v>
      </c>
      <c r="AU72" s="77">
        <f>-(AS72*$J$12+MAX(0,AS72-AS71)*$H$12+IF($A72-$D$12&lt;=2,Premissas!$B$49,IF($A72-$D$12&lt;=5,Premissas!$B$50,IF($A72-$D$12&lt;=8,Premissas!$B$51,$G$12)))+IF($A72=1+$D$12,Premissas!$B$55,IF($A72=3+$D$12,Premissas!$B$56,IF($A72=6+$D$12,Premissas!$B$57,0))))</f>
        <v>-58224.93613251018</v>
      </c>
      <c r="AV72" s="77">
        <f>AT72+AU72</f>
        <v>51538.50565446803</v>
      </c>
      <c r="AW72" s="77">
        <f>AW71+AV72</f>
        <v>563345.9500085195</v>
      </c>
      <c r="AX72" s="78">
        <f>IF(AV72&gt;0,$A72,9999)</f>
        <v>31.0</v>
      </c>
      <c r="AY72" s="78">
        <f>IF(AW72&gt;0,$A72,9999)</f>
        <v>31.0</v>
      </c>
      <c r="AZ72" s="76">
        <f>IF($A72-$D$13&lt;Premissas!$B$41,0,$C$13*(Premissas!$B$39+(Premissas!$B$40-Premissas!$B$39)*$A72/36)/(1+EXP(-$K$13*($A72-$D$13-$I$13))))</f>
        <v>546.128593611938</v>
      </c>
      <c r="BA72" s="77">
        <f>(AZ72*$B$13+IF($A72&gt;=Premissas!$B$46+$D$13,$F$13,0))*(1-$E$13)*(1-Premissas!$B$60)</f>
        <v>129969.33711747709</v>
      </c>
      <c r="BB72" s="77">
        <f>-(AZ72*$J$13+MAX(0,AZ72-AZ71)*$H$13+IF($A72-$D$13&lt;=2,Premissas!$B$49,IF($A72-$D$13&lt;=5,Premissas!$B$50,IF($A72-$D$13&lt;=8,Premissas!$B$51,$G$13)))+IF($A72=1+$D$13,Premissas!$B$55,IF($A72=3+$D$13,Premissas!$B$56,IF($A72=6+$D$13,Premissas!$B$57,0))))</f>
        <v>-58203.87542525187</v>
      </c>
      <c r="BC72" s="77">
        <f>BA72+BB72</f>
        <v>71765.46169222522</v>
      </c>
      <c r="BD72" s="77">
        <f>BD71+BC72</f>
        <v>543268.4336724229</v>
      </c>
      <c r="BE72" s="78">
        <f>IF(BC72&gt;0,$A72,9999)</f>
        <v>31.0</v>
      </c>
      <c r="BF72" s="78">
        <f>IF(BD72&gt;0,$A72,9999)</f>
        <v>31.0</v>
      </c>
      <c r="BG72" s="76">
        <f>IF($A72-$D$14&lt;Premissas!$B$41,0,$C$14*(Premissas!$B$39+(Premissas!$B$40-Premissas!$B$39)*$A72/36)/(1+EXP(-$K$14*($A72-$D$14-$I$14))))</f>
        <v>547.595404481811</v>
      </c>
      <c r="BH72" s="77">
        <f>(BG72*$B$14+IF($A72&gt;=Premissas!$B$46+$D$14,$F$14,0))*(1-$E$14)*(1-Premissas!$B$60)</f>
        <v>130298.26945504612</v>
      </c>
      <c r="BI72" s="77">
        <f>-(BG72*$J$14+MAX(0,BG72-BG71)*$H$14+IF($A72-$D$14&lt;=2,Premissas!$B$49,IF($A72-$D$14&lt;=5,Premissas!$B$50,IF($A72-$D$14&lt;=8,Premissas!$B$51,$G$14)))+IF($A72=1+$D$14,Premissas!$B$55,IF($A72=3+$D$14,Premissas!$B$56,IF($A72=6+$D$14,Premissas!$B$57,0))))</f>
        <v>-48224.93613251018</v>
      </c>
      <c r="BJ72" s="77">
        <f>BH72+BI72</f>
        <v>82073.33332253594</v>
      </c>
      <c r="BK72" s="77">
        <f>BK71+BJ72</f>
        <v>1159466.602918522</v>
      </c>
      <c r="BL72" s="78">
        <f>IF(BJ72&gt;0,$A72,9999)</f>
        <v>31.0</v>
      </c>
      <c r="BM72" s="78">
        <f>IF(BK72&gt;0,$A72,9999)</f>
        <v>31.0</v>
      </c>
      <c r="BN72" s="76">
        <f>IF($A72-$D$15&lt;Premissas!$B$41,0,$C$15*(Premissas!$B$39+(Premissas!$B$40-Premissas!$B$39)*$A72/36)/(1+EXP(-$K$15*($A72-$D$15-$I$15))))</f>
        <v>185.8420943502154</v>
      </c>
      <c r="BO72" s="77">
        <f>(BN72*$B$15+IF($A72&gt;=Premissas!$B$46+$D$15,$F$15,0))*(1-$E$15)*(1-Premissas!$B$60)</f>
        <v>69283.62809771871</v>
      </c>
      <c r="BP72" s="77">
        <f>-(BN72*$J$15+MAX(0,BN72-BN71)*$H$15+IF($A72-$D$15&lt;=2,Premissas!$B$49,IF($A72-$D$15&lt;=5,Premissas!$B$50,IF($A72-$D$15&lt;=8,Premissas!$B$51,$G$15)))+IF($A72=1+$D$15,Premissas!$B$55,IF($A72=3+$D$15,Premissas!$B$56,IF($A72=6+$D$15,Premissas!$B$57,0))))</f>
        <v>-44194.46422113444</v>
      </c>
      <c r="BQ72" s="77">
        <f>BO72+BP72</f>
        <v>25089.163876584273</v>
      </c>
      <c r="BR72" s="77">
        <f>BR71+BQ72</f>
        <v>-101913.69185848816</v>
      </c>
      <c r="BS72" s="78">
        <f>IF(BQ72&gt;0,$A72,9999)</f>
        <v>31.0</v>
      </c>
      <c r="BT72" s="78">
        <f>IF(BR72&gt;0,$A72,9999)</f>
        <v>9999.0</v>
      </c>
      <c r="BU72" s="76">
        <f>IF($A72-$D$16&lt;Premissas!$B$41,0,$C$16*(Premissas!$B$39+(Premissas!$B$40-Premissas!$B$39)*$A72/36)/(1+EXP(-$K$16*($A72-$D$16-$I$16))))</f>
        <v>371.6841887004308</v>
      </c>
      <c r="BV72" s="77">
        <f>(BU72*$B$16+IF($A72&gt;=Premissas!$B$46+$D$16,$F$16,0))*(1-$E$16)*(1-Premissas!$B$60)</f>
        <v>83568.71652703432</v>
      </c>
      <c r="BW72" s="77">
        <f>-(BU72*$J$16+MAX(0,BU72-BU71)*$H$16+IF($A72-$D$16&lt;=2,Premissas!$B$49,IF($A72-$D$16&lt;=5,Premissas!$B$50,IF($A72-$D$16&lt;=8,Premissas!$B$51,$G$16)))+IF($A72=1+$D$16,Premissas!$B$55,IF($A72=3+$D$16,Premissas!$B$56,IF($A72=6+$D$16,Premissas!$B$57,0))))</f>
        <v>-53388.92844226888</v>
      </c>
      <c r="BX72" s="77">
        <f>BV72+BW72</f>
        <v>30179.788084765445</v>
      </c>
      <c r="BY72" s="77">
        <f>BY71+BX72</f>
        <v>-120300.3343569794</v>
      </c>
      <c r="BZ72" s="78">
        <f>IF(BX72&gt;0,$A72,9999)</f>
        <v>31.0</v>
      </c>
      <c r="CA72" s="78">
        <f>IF(BY72&gt;0,$A72,9999)</f>
        <v>9999.0</v>
      </c>
      <c r="CB72" s="76">
        <f>IF($A72-$D$17&lt;Premissas!$B$41,0,$C$17*(Premissas!$B$39+(Premissas!$B$40-Premissas!$B$39)*$A72/36)/(1+EXP(-$K$17*($A72-$D$17-$I$17))))</f>
        <v>177.41251814774753</v>
      </c>
      <c r="CC72" s="77">
        <f>(CB72*$B$17+IF($A72&gt;=Premissas!$B$46+$D$17,$F$17,0))*(1-$E$17)*(1-Premissas!$B$60)</f>
        <v>43286.48563793546</v>
      </c>
      <c r="CD72" s="77">
        <f>-(CB72*$J$17+MAX(0,CB72-CB71)*$H$17+IF($A72-$D$17&lt;=2,Premissas!$B$49,IF($A72-$D$17&lt;=5,Premissas!$B$50,IF($A72-$D$17&lt;=8,Premissas!$B$51,$G$17)))+IF($A72=1+$D$17,Premissas!$B$55,IF($A72=3+$D$17,Premissas!$B$56,IF($A72=6+$D$17,Premissas!$B$57,0))))</f>
        <v>-44944.573338397815</v>
      </c>
      <c r="CE72" s="77">
        <f>CC72+CD72</f>
        <v>-1658.0877004623544</v>
      </c>
      <c r="CF72" s="77">
        <f>CF71+CE72</f>
        <v>-499553.119064082</v>
      </c>
      <c r="CG72" s="78">
        <f>IF(CE72&gt;0,$A72,9999)</f>
        <v>9999.0</v>
      </c>
      <c r="CH72" s="78">
        <f>IF(CF72&gt;0,$A72,9999)</f>
        <v>9999.0</v>
      </c>
    </row>
    <row r="73">
      <c r="A73" s="14" t="n">
        <v>32</v>
      </c>
      <c r="C73" s="76">
        <f>IF($A73-$D$6&lt;Premissas!$B$41,0,$C$6*(Premissas!$B$39+(Premissas!$B$40-Premissas!$B$39)*$A73/36)/(1+EXP(-$K$6*($A73-$D$6-$I$6))))</f>
        <v>375.55014816081257</v>
      </c>
      <c r="D73" s="77">
        <f>(C73*$B$6+IF($A73&gt;=Premissas!$B$46+$D$6,$F$6,0))*(1-$E$6)*(1-Premissas!$B$60)</f>
        <v>129800.49726329921</v>
      </c>
      <c r="E73" s="77">
        <f>-(C73*$J$6+MAX(0,C73-C72)*$H$6+IF($A73-$D$6&lt;=2,Premissas!$B$49,IF($A73-$D$6&lt;=5,Premissas!$B$50,IF($A73-$D$6&lt;=8,Premissas!$B$51,$G$6)))+IF($A73=1+$D$6,Premissas!$B$55,IF($A73=3+$D$6,Premissas!$B$56,IF($A73=6+$D$6,Premissas!$B$57,0))))</f>
        <v>-53446.14045138927</v>
      </c>
      <c r="F73" s="77">
        <f>D73+E73</f>
        <v>76354.35681190994</v>
      </c>
      <c r="G73" s="77">
        <f>G72+F73</f>
        <v>637526.9730949337</v>
      </c>
      <c r="H73" s="78">
        <f>IF(F73&gt;0,$A73,9999)</f>
        <v>32.0</v>
      </c>
      <c r="I73" s="78">
        <f>IF(G73&gt;0,$A73,9999)</f>
        <v>32.0</v>
      </c>
      <c r="J73" s="76">
        <f>IF($A73-$D$7&lt;Premissas!$B$41,0,$C$7*(Premissas!$B$39+(Premissas!$B$40-Premissas!$B$39)*$A73/36)/(1+EXP(-$K$7*($A73-$D$7-$I$7))))</f>
        <v>552.0929774249294</v>
      </c>
      <c r="K73" s="77">
        <f>(J73*$B$7+IF($A73&gt;=Premissas!$B$46+$D$7,$F$7,0))*(1-$E$7)*(1-Premissas!$B$60)</f>
        <v>131306.8501875404</v>
      </c>
      <c r="L73" s="77">
        <f>-(J73*$J$7+MAX(0,J73-J72)*$H$7+IF($A73-$D$7&lt;=2,Premissas!$B$49,IF($A73-$D$7&lt;=5,Premissas!$B$50,IF($A73-$D$7&lt;=8,Premissas!$B$51,$G$7)))+IF($A73=1+$D$7,Premissas!$B$55,IF($A73=3+$D$7,Premissas!$B$56,IF($A73=6+$D$7,Premissas!$B$57,0))))</f>
        <v>-58412.78369900295</v>
      </c>
      <c r="M73" s="77">
        <f>K73+L73</f>
        <v>72894.06648853746</v>
      </c>
      <c r="N73" s="77">
        <f>N72+M73</f>
        <v>1002360.6694070594</v>
      </c>
      <c r="O73" s="78">
        <f>IF(M73&gt;0,$A73,9999)</f>
        <v>32.0</v>
      </c>
      <c r="P73" s="78">
        <f>IF(N73&gt;0,$A73,9999)</f>
        <v>32.0</v>
      </c>
      <c r="Q73" s="76">
        <f>IF($A73-$D$8&lt;Premissas!$B$41,0,$C$8*(Premissas!$B$39+(Premissas!$B$40-Premissas!$B$39)*$A73/36)/(1+EXP(-$K$8*($A73-$D$8-$I$8))))</f>
        <v>552.0929774249294</v>
      </c>
      <c r="R73" s="77">
        <f>(Q73*$B$8+IF($A73&gt;=Premissas!$B$46+$D$8,$F$8,0))*(1-$E$8)*(1-Premissas!$B$60)</f>
        <v>175075.80025005387</v>
      </c>
      <c r="S73" s="77">
        <f>-(Q73*$J$8+MAX(0,Q73-Q72)*$H$8+IF($A73-$D$8&lt;=2,Premissas!$B$49,IF($A73-$D$8&lt;=5,Premissas!$B$50,IF($A73-$D$8&lt;=8,Premissas!$B$51,$G$8)))+IF($A73=1+$D$8,Premissas!$B$55,IF($A73=3+$D$8,Premissas!$B$56,IF($A73=6+$D$8,Premissas!$B$57,0))))</f>
        <v>-58412.78369900295</v>
      </c>
      <c r="T73" s="77">
        <f>R73+S73</f>
        <v>116663.01655105093</v>
      </c>
      <c r="U73" s="77">
        <f>U72+T73</f>
        <v>1833430.1209368445</v>
      </c>
      <c r="V73" s="78">
        <f>IF(T73&gt;0,$A73,9999)</f>
        <v>32.0</v>
      </c>
      <c r="W73" s="78">
        <f>IF(U73&gt;0,$A73,9999)</f>
        <v>32.0</v>
      </c>
      <c r="X73" s="76">
        <f>IF($A73-$D$9&lt;Premissas!$B$41,0,$C$9*(Premissas!$B$39+(Premissas!$B$40-Premissas!$B$39)*$A73/36)/(1+EXP(-$K$9*($A73-$D$9-$I$9))))</f>
        <v>552.0929774249294</v>
      </c>
      <c r="Y73" s="77">
        <f>(X73*$B$9+IF($A73&gt;=Premissas!$B$46+$D$9,$F$9,0))*(1-$E$9)*(1-Premissas!$B$60)</f>
        <v>140060.6402000431</v>
      </c>
      <c r="Z73" s="77">
        <f>-(X73*$J$9+MAX(0,X73-X72)*$H$9+IF($A73-$D$9&lt;=2,Premissas!$B$49,IF($A73-$D$9&lt;=5,Premissas!$B$50,IF($A73-$D$9&lt;=8,Premissas!$B$51,$G$9)))+IF($A73=1+$D$9,Premissas!$B$55,IF($A73=3+$D$9,Premissas!$B$56,IF($A73=6+$D$9,Premissas!$B$57,0))))</f>
        <v>-58412.78369900295</v>
      </c>
      <c r="AA73" s="77">
        <f>Y73+Z73</f>
        <v>81647.85650104015</v>
      </c>
      <c r="AB73" s="77">
        <f>AB72+AA73</f>
        <v>1168574.5597130163</v>
      </c>
      <c r="AC73" s="78">
        <f>IF(AA73&gt;0,$A73,9999)</f>
        <v>32.0</v>
      </c>
      <c r="AD73" s="78">
        <f>IF(AB73&gt;0,$A73,9999)</f>
        <v>32.0</v>
      </c>
      <c r="AE73" s="76">
        <f>IF($A73-$D$10&lt;Premissas!$B$41,0,$C$10*(Premissas!$B$39+(Premissas!$B$40-Premissas!$B$39)*$A73/36)/(1+EXP(-$K$10*($A73-$D$10-$I$10))))</f>
        <v>552.0929774249294</v>
      </c>
      <c r="AF73" s="77">
        <f>(AE73*$B$10+IF($A73&gt;=Premissas!$B$46+$D$10,$F$10,0))*(1-$E$10)*(1-Premissas!$B$60)</f>
        <v>122553.0601750377</v>
      </c>
      <c r="AG73" s="77">
        <f>-(AE73*$J$10+MAX(0,AE73-AE72)*$H$10+IF($A73-$D$10&lt;=2,Premissas!$B$49,IF($A73-$D$10&lt;=5,Premissas!$B$50,IF($A73-$D$10&lt;=8,Premissas!$B$51,$G$10)))+IF($A73=1+$D$10,Premissas!$B$55,IF($A73=3+$D$10,Premissas!$B$56,IF($A73=6+$D$10,Premissas!$B$57,0))))</f>
        <v>-58412.78369900295</v>
      </c>
      <c r="AH73" s="77">
        <f>AF73+AG73</f>
        <v>64140.27647603475</v>
      </c>
      <c r="AI73" s="77">
        <f>AI72+AH73</f>
        <v>836146.779101102</v>
      </c>
      <c r="AJ73" s="78">
        <f>IF(AH73&gt;0,$A73,9999)</f>
        <v>32.0</v>
      </c>
      <c r="AK73" s="78">
        <f>IF(AI73&gt;0,$A73,9999)</f>
        <v>32.0</v>
      </c>
      <c r="AL73" s="76">
        <f>IF($A73-$D$11&lt;Premissas!$B$41,0,$C$11*(Premissas!$B$39+(Premissas!$B$40-Premissas!$B$39)*$A73/36)/(1+EXP(-$K$11*($A73-$D$11-$I$11))))</f>
        <v>552.0929774249294</v>
      </c>
      <c r="AM73" s="77">
        <f>(AL73*$B$11+IF($A73&gt;=Premissas!$B$46+$D$11,$F$11,0))*(1-$E$11)*(1-Premissas!$B$60)</f>
        <v>105045.48015003232</v>
      </c>
      <c r="AN73" s="77">
        <f>-(AL73*$J$11+MAX(0,AL73-AL72)*$H$11+IF($A73-$D$11&lt;=2,Premissas!$B$49,IF($A73-$D$11&lt;=5,Premissas!$B$50,IF($A73-$D$11&lt;=8,Premissas!$B$51,$G$11)))+IF($A73=1+$D$11,Premissas!$B$55,IF($A73=3+$D$11,Premissas!$B$56,IF($A73=6+$D$11,Premissas!$B$57,0))))</f>
        <v>-58412.78369900295</v>
      </c>
      <c r="AO73" s="77">
        <f>AM73+AN73</f>
        <v>46632.69645102938</v>
      </c>
      <c r="AP73" s="77">
        <f>AP72+AO73</f>
        <v>503718.99848918803</v>
      </c>
      <c r="AQ73" s="78">
        <f>IF(AO73&gt;0,$A73,9999)</f>
        <v>32.0</v>
      </c>
      <c r="AR73" s="78">
        <f>IF(AP73&gt;0,$A73,9999)</f>
        <v>32.0</v>
      </c>
      <c r="AS73" s="76">
        <f>IF($A73-$D$12&lt;Premissas!$B$41,0,$C$12*(Premissas!$B$39+(Premissas!$B$40-Premissas!$B$39)*$A73/36)/(1+EXP(-$K$12*($A73-$D$12-$I$12))))</f>
        <v>552.0929774249294</v>
      </c>
      <c r="AT73" s="77">
        <f>(AS73*$B$12+IF($A73&gt;=Premissas!$B$46+$D$12,$F$12,0))*(1-$E$12)*(1-Premissas!$B$60)</f>
        <v>110603.36353410556</v>
      </c>
      <c r="AU73" s="77">
        <f>-(AS73*$J$12+MAX(0,AS73-AS72)*$H$12+IF($A73-$D$12&lt;=2,Premissas!$B$49,IF($A73-$D$12&lt;=5,Premissas!$B$50,IF($A73-$D$12&lt;=8,Premissas!$B$51,$G$12)))+IF($A73=1+$D$12,Premissas!$B$55,IF($A73=3+$D$12,Premissas!$B$56,IF($A73=6+$D$12,Premissas!$B$57,0))))</f>
        <v>-58412.78369900295</v>
      </c>
      <c r="AV73" s="77">
        <f>AT73+AU73</f>
        <v>52190.57983510262</v>
      </c>
      <c r="AW73" s="77">
        <f>AW72+AV73</f>
        <v>615536.5298436221</v>
      </c>
      <c r="AX73" s="78">
        <f>IF(AV73&gt;0,$A73,9999)</f>
        <v>32.0</v>
      </c>
      <c r="AY73" s="78">
        <f>IF(AW73&gt;0,$A73,9999)</f>
        <v>32.0</v>
      </c>
      <c r="AZ73" s="76">
        <f>IF($A73-$D$13&lt;Premissas!$B$41,0,$C$13*(Premissas!$B$39+(Premissas!$B$40-Premissas!$B$39)*$A73/36)/(1+EXP(-$K$13*($A73-$D$13-$I$13))))</f>
        <v>551.1490335080254</v>
      </c>
      <c r="BA73" s="77">
        <f>(AZ73*$B$13+IF($A73&gt;=Premissas!$B$46+$D$13,$F$13,0))*(1-$E$13)*(1-Premissas!$B$60)</f>
        <v>131095.1707641747</v>
      </c>
      <c r="BB73" s="77">
        <f>-(AZ73*$J$13+MAX(0,AZ73-AZ72)*$H$13+IF($A73-$D$13&lt;=2,Premissas!$B$49,IF($A73-$D$13&lt;=5,Premissas!$B$50,IF($A73-$D$13&lt;=8,Premissas!$B$51,$G$13)))+IF($A73=1+$D$13,Premissas!$B$55,IF($A73=3+$D$13,Premissas!$B$56,IF($A73=6+$D$13,Premissas!$B$57,0))))</f>
        <v>-58399.28140214144</v>
      </c>
      <c r="BC73" s="77">
        <f>BA73+BB73</f>
        <v>72695.88936203325</v>
      </c>
      <c r="BD73" s="77">
        <f>BD72+BC73</f>
        <v>615964.3230344561</v>
      </c>
      <c r="BE73" s="78">
        <f>IF(BC73&gt;0,$A73,9999)</f>
        <v>32.0</v>
      </c>
      <c r="BF73" s="78">
        <f>IF(BD73&gt;0,$A73,9999)</f>
        <v>32.0</v>
      </c>
      <c r="BG73" s="76">
        <f>IF($A73-$D$14&lt;Premissas!$B$41,0,$C$14*(Premissas!$B$39+(Premissas!$B$40-Premissas!$B$39)*$A73/36)/(1+EXP(-$K$14*($A73-$D$14-$I$14))))</f>
        <v>552.0929774249294</v>
      </c>
      <c r="BH73" s="77">
        <f>(BG73*$B$14+IF($A73&gt;=Premissas!$B$46+$D$14,$F$14,0))*(1-$E$14)*(1-Premissas!$B$60)</f>
        <v>131306.8501875404</v>
      </c>
      <c r="BI73" s="77">
        <f>-(BG73*$J$14+MAX(0,BG73-BG72)*$H$14+IF($A73-$D$14&lt;=2,Premissas!$B$49,IF($A73-$D$14&lt;=5,Premissas!$B$50,IF($A73-$D$14&lt;=8,Premissas!$B$51,$G$14)))+IF($A73=1+$D$14,Premissas!$B$55,IF($A73=3+$D$14,Premissas!$B$56,IF($A73=6+$D$14,Premissas!$B$57,0))))</f>
        <v>-48412.78369900295</v>
      </c>
      <c r="BJ73" s="77">
        <f>BH73+BI73</f>
        <v>82894.06648853746</v>
      </c>
      <c r="BK73" s="77">
        <f>BK72+BJ73</f>
        <v>1242360.6694070594</v>
      </c>
      <c r="BL73" s="78">
        <f>IF(BJ73&gt;0,$A73,9999)</f>
        <v>32.0</v>
      </c>
      <c r="BM73" s="78">
        <f>IF(BK73&gt;0,$A73,9999)</f>
        <v>32.0</v>
      </c>
      <c r="BN73" s="76">
        <f>IF($A73-$D$15&lt;Premissas!$B$41,0,$C$15*(Premissas!$B$39+(Premissas!$B$40-Premissas!$B$39)*$A73/36)/(1+EXP(-$K$15*($A73-$D$15-$I$15))))</f>
        <v>187.77507408040628</v>
      </c>
      <c r="BO73" s="77">
        <f>(BN73*$B$15+IF($A73&gt;=Premissas!$B$46+$D$15,$F$15,0))*(1-$E$15)*(1-Premissas!$B$60)</f>
        <v>69900.2486316496</v>
      </c>
      <c r="BP73" s="77">
        <f>-(BN73*$J$15+MAX(0,BN73-BN72)*$H$15+IF($A73-$D$15&lt;=2,Premissas!$B$49,IF($A73-$D$15&lt;=5,Premissas!$B$50,IF($A73-$D$15&lt;=8,Premissas!$B$51,$G$15)))+IF($A73=1+$D$15,Premissas!$B$55,IF($A73=3+$D$15,Premissas!$B$56,IF($A73=6+$D$15,Premissas!$B$57,0))))</f>
        <v>-44223.07022569464</v>
      </c>
      <c r="BQ73" s="77">
        <f>BO73+BP73</f>
        <v>25677.17840595497</v>
      </c>
      <c r="BR73" s="77">
        <f>BR72+BQ73</f>
        <v>-76236.5134525332</v>
      </c>
      <c r="BS73" s="78">
        <f>IF(BQ73&gt;0,$A73,9999)</f>
        <v>32.0</v>
      </c>
      <c r="BT73" s="78">
        <f>IF(BR73&gt;0,$A73,9999)</f>
        <v>9999.0</v>
      </c>
      <c r="BU73" s="76">
        <f>IF($A73-$D$16&lt;Premissas!$B$41,0,$C$16*(Premissas!$B$39+(Premissas!$B$40-Premissas!$B$39)*$A73/36)/(1+EXP(-$K$16*($A73-$D$16-$I$16))))</f>
        <v>375.55014816081257</v>
      </c>
      <c r="BV73" s="77">
        <f>(BU73*$B$16+IF($A73&gt;=Premissas!$B$46+$D$16,$F$16,0))*(1-$E$16)*(1-Premissas!$B$60)</f>
        <v>84370.32322114448</v>
      </c>
      <c r="BW73" s="77">
        <f>-(BU73*$J$16+MAX(0,BU73-BU72)*$H$16+IF($A73-$D$16&lt;=2,Premissas!$B$49,IF($A73-$D$16&lt;=5,Premissas!$B$50,IF($A73-$D$16&lt;=8,Premissas!$B$51,$G$16)))+IF($A73=1+$D$16,Premissas!$B$55,IF($A73=3+$D$16,Premissas!$B$56,IF($A73=6+$D$16,Premissas!$B$57,0))))</f>
        <v>-53446.14045138927</v>
      </c>
      <c r="BX73" s="77">
        <f>BV73+BW73</f>
        <v>30924.182769755214</v>
      </c>
      <c r="BY73" s="77">
        <f>BY72+BX73</f>
        <v>-89376.15158722419</v>
      </c>
      <c r="BZ73" s="78">
        <f>IF(BX73&gt;0,$A73,9999)</f>
        <v>32.0</v>
      </c>
      <c r="CA73" s="78">
        <f>IF(BY73&gt;0,$A73,9999)</f>
        <v>9999.0</v>
      </c>
      <c r="CB73" s="76">
        <f>IF($A73-$D$17&lt;Premissas!$B$41,0,$C$17*(Premissas!$B$39+(Premissas!$B$40-Premissas!$B$39)*$A73/36)/(1+EXP(-$K$17*($A73-$D$17-$I$17))))</f>
        <v>181.49892597958788</v>
      </c>
      <c r="CC73" s="77">
        <f>(CB73*$B$17+IF($A73&gt;=Premissas!$B$46+$D$17,$F$17,0))*(1-$E$17)*(1-Premissas!$B$60)</f>
        <v>44133.80230186755</v>
      </c>
      <c r="CD73" s="77">
        <f>-(CB73*$J$17+MAX(0,CB73-CB72)*$H$17+IF($A73-$D$17&lt;=2,Premissas!$B$49,IF($A73-$D$17&lt;=5,Premissas!$B$50,IF($A73-$D$17&lt;=8,Premissas!$B$51,$G$17)))+IF($A73=1+$D$17,Premissas!$B$55,IF($A73=3+$D$17,Premissas!$B$56,IF($A73=6+$D$17,Premissas!$B$57,0))))</f>
        <v>-44802.0148018176</v>
      </c>
      <c r="CE73" s="77">
        <f>CC73+CD73</f>
        <v>-668.2124999500447</v>
      </c>
      <c r="CF73" s="77">
        <f>CF72+CE73</f>
        <v>-500221.331564032</v>
      </c>
      <c r="CG73" s="78">
        <f>IF(CE73&gt;0,$A73,9999)</f>
        <v>9999.0</v>
      </c>
      <c r="CH73" s="78">
        <f>IF(CF73&gt;0,$A73,9999)</f>
        <v>9999.0</v>
      </c>
    </row>
    <row r="74">
      <c r="A74" s="14" t="n">
        <v>33</v>
      </c>
      <c r="C74" s="76">
        <f>IF($A74-$D$6&lt;Premissas!$B$41,0,$C$6*(Premissas!$B$39+(Premissas!$B$40-Premissas!$B$39)*$A74/36)/(1+EXP(-$K$6*($A74-$D$6-$I$6))))</f>
        <v>379.2002999753312</v>
      </c>
      <c r="D74" s="77">
        <f>(C74*$B$6+IF($A74&gt;=Premissas!$B$46+$D$6,$F$6,0))*(1-$E$6)*(1-Premissas!$B$60)</f>
        <v>130964.89569213065</v>
      </c>
      <c r="E74" s="77">
        <f>-(C74*$J$6+MAX(0,C74-C73)*$H$6+IF($A74-$D$6&lt;=2,Premissas!$B$49,IF($A74-$D$6&lt;=5,Premissas!$B$50,IF($A74-$D$6&lt;=8,Premissas!$B$51,$G$6)))+IF($A74=1+$D$6,Premissas!$B$55,IF($A74=3+$D$6,Premissas!$B$56,IF($A74=6+$D$6,Premissas!$B$57,0))))</f>
        <v>-53524.074224697346</v>
      </c>
      <c r="F74" s="77">
        <f>D74+E74</f>
        <v>77440.8214674333</v>
      </c>
      <c r="G74" s="77">
        <f>G73+F74</f>
        <v>714967.794562367</v>
      </c>
      <c r="H74" s="78">
        <f>IF(F74&gt;0,$A74,9999)</f>
        <v>33.0</v>
      </c>
      <c r="I74" s="78">
        <f>IF(G74&gt;0,$A74,9999)</f>
        <v>33.0</v>
      </c>
      <c r="J74" s="76">
        <f>IF($A74-$D$7&lt;Premissas!$B$41,0,$C$7*(Premissas!$B$39+(Premissas!$B$40-Premissas!$B$39)*$A74/36)/(1+EXP(-$K$7*($A74-$D$7-$I$7))))</f>
        <v>556.5770365282887</v>
      </c>
      <c r="K74" s="77">
        <f>(J74*$B$7+IF($A74&gt;=Premissas!$B$46+$D$7,$F$7,0))*(1-$E$7)*(1-Premissas!$B$60)</f>
        <v>132312.40044146872</v>
      </c>
      <c r="L74" s="77">
        <f>-(J74*$J$7+MAX(0,J74-J73)*$H$7+IF($A74-$D$7&lt;=2,Premissas!$B$49,IF($A74-$D$7&lt;=5,Premissas!$B$50,IF($A74-$D$7&lt;=8,Premissas!$B$51,$G$7)))+IF($A74=1+$D$7,Premissas!$B$55,IF($A74=3+$D$7,Premissas!$B$56,IF($A74=6+$D$7,Premissas!$B$57,0))))</f>
        <v>-58600.43848935609</v>
      </c>
      <c r="M74" s="77">
        <f>K74+L74</f>
        <v>73711.96195211263</v>
      </c>
      <c r="N74" s="77">
        <f>N73+M74</f>
        <v>1076072.631359172</v>
      </c>
      <c r="O74" s="78">
        <f>IF(M74&gt;0,$A74,9999)</f>
        <v>33.0</v>
      </c>
      <c r="P74" s="78">
        <f>IF(N74&gt;0,$A74,9999)</f>
        <v>33.0</v>
      </c>
      <c r="Q74" s="76">
        <f>IF($A74-$D$8&lt;Premissas!$B$41,0,$C$8*(Premissas!$B$39+(Premissas!$B$40-Premissas!$B$39)*$A74/36)/(1+EXP(-$K$8*($A74-$D$8-$I$8))))</f>
        <v>556.5770365282887</v>
      </c>
      <c r="R74" s="77">
        <f>(Q74*$B$8+IF($A74&gt;=Premissas!$B$46+$D$8,$F$8,0))*(1-$E$8)*(1-Premissas!$B$60)</f>
        <v>176416.5339219583</v>
      </c>
      <c r="S74" s="77">
        <f>-(Q74*$J$8+MAX(0,Q74-Q73)*$H$8+IF($A74-$D$8&lt;=2,Premissas!$B$49,IF($A74-$D$8&lt;=5,Premissas!$B$50,IF($A74-$D$8&lt;=8,Premissas!$B$51,$G$8)))+IF($A74=1+$D$8,Premissas!$B$55,IF($A74=3+$D$8,Premissas!$B$56,IF($A74=6+$D$8,Premissas!$B$57,0))))</f>
        <v>-58600.43848935609</v>
      </c>
      <c r="T74" s="77">
        <f>R74+S74</f>
        <v>117816.0954326022</v>
      </c>
      <c r="U74" s="77">
        <f>U73+T74</f>
        <v>1951246.2163694466</v>
      </c>
      <c r="V74" s="78">
        <f>IF(T74&gt;0,$A74,9999)</f>
        <v>33.0</v>
      </c>
      <c r="W74" s="78">
        <f>IF(U74&gt;0,$A74,9999)</f>
        <v>33.0</v>
      </c>
      <c r="X74" s="76">
        <f>IF($A74-$D$9&lt;Premissas!$B$41,0,$C$9*(Premissas!$B$39+(Premissas!$B$40-Premissas!$B$39)*$A74/36)/(1+EXP(-$K$9*($A74-$D$9-$I$9))))</f>
        <v>556.5770365282887</v>
      </c>
      <c r="Y74" s="77">
        <f>(X74*$B$9+IF($A74&gt;=Premissas!$B$46+$D$9,$F$9,0))*(1-$E$9)*(1-Premissas!$B$60)</f>
        <v>141133.22713756663</v>
      </c>
      <c r="Z74" s="77">
        <f>-(X74*$J$9+MAX(0,X74-X73)*$H$9+IF($A74-$D$9&lt;=2,Premissas!$B$49,IF($A74-$D$9&lt;=5,Premissas!$B$50,IF($A74-$D$9&lt;=8,Premissas!$B$51,$G$9)))+IF($A74=1+$D$9,Premissas!$B$55,IF($A74=3+$D$9,Premissas!$B$56,IF($A74=6+$D$9,Premissas!$B$57,0))))</f>
        <v>-58600.43848935609</v>
      </c>
      <c r="AA74" s="77">
        <f>Y74+Z74</f>
        <v>82532.78864821054</v>
      </c>
      <c r="AB74" s="77">
        <f>AB73+AA74</f>
        <v>1251107.3483612267</v>
      </c>
      <c r="AC74" s="78">
        <f>IF(AA74&gt;0,$A74,9999)</f>
        <v>33.0</v>
      </c>
      <c r="AD74" s="78">
        <f>IF(AB74&gt;0,$A74,9999)</f>
        <v>33.0</v>
      </c>
      <c r="AE74" s="76">
        <f>IF($A74-$D$10&lt;Premissas!$B$41,0,$C$10*(Premissas!$B$39+(Premissas!$B$40-Premissas!$B$39)*$A74/36)/(1+EXP(-$K$10*($A74-$D$10-$I$10))))</f>
        <v>556.5770365282887</v>
      </c>
      <c r="AF74" s="77">
        <f>(AE74*$B$10+IF($A74&gt;=Premissas!$B$46+$D$10,$F$10,0))*(1-$E$10)*(1-Premissas!$B$60)</f>
        <v>123491.5737453708</v>
      </c>
      <c r="AG74" s="77">
        <f>-(AE74*$J$10+MAX(0,AE74-AE73)*$H$10+IF($A74-$D$10&lt;=2,Premissas!$B$49,IF($A74-$D$10&lt;=5,Premissas!$B$50,IF($A74-$D$10&lt;=8,Premissas!$B$51,$G$10)))+IF($A74=1+$D$10,Premissas!$B$55,IF($A74=3+$D$10,Premissas!$B$56,IF($A74=6+$D$10,Premissas!$B$57,0))))</f>
        <v>-58600.43848935609</v>
      </c>
      <c r="AH74" s="77">
        <f>AF74+AG74</f>
        <v>64891.135256014706</v>
      </c>
      <c r="AI74" s="77">
        <f>AI73+AH74</f>
        <v>901037.9143571167</v>
      </c>
      <c r="AJ74" s="78">
        <f>IF(AH74&gt;0,$A74,9999)</f>
        <v>33.0</v>
      </c>
      <c r="AK74" s="78">
        <f>IF(AI74&gt;0,$A74,9999)</f>
        <v>33.0</v>
      </c>
      <c r="AL74" s="76">
        <f>IF($A74-$D$11&lt;Premissas!$B$41,0,$C$11*(Premissas!$B$39+(Premissas!$B$40-Premissas!$B$39)*$A74/36)/(1+EXP(-$K$11*($A74-$D$11-$I$11))))</f>
        <v>556.5770365282887</v>
      </c>
      <c r="AM74" s="77">
        <f>(AL74*$B$11+IF($A74&gt;=Premissas!$B$46+$D$11,$F$11,0))*(1-$E$11)*(1-Premissas!$B$60)</f>
        <v>105849.92035317498</v>
      </c>
      <c r="AN74" s="77">
        <f>-(AL74*$J$11+MAX(0,AL74-AL73)*$H$11+IF($A74-$D$11&lt;=2,Premissas!$B$49,IF($A74-$D$11&lt;=5,Premissas!$B$50,IF($A74-$D$11&lt;=8,Premissas!$B$51,$G$11)))+IF($A74=1+$D$11,Premissas!$B$55,IF($A74=3+$D$11,Premissas!$B$56,IF($A74=6+$D$11,Premissas!$B$57,0))))</f>
        <v>-58600.43848935609</v>
      </c>
      <c r="AO74" s="77">
        <f>AM74+AN74</f>
        <v>47249.48186381889</v>
      </c>
      <c r="AP74" s="77">
        <f>AP73+AO74</f>
        <v>550968.4803530069</v>
      </c>
      <c r="AQ74" s="78">
        <f>IF(AO74&gt;0,$A74,9999)</f>
        <v>33.0</v>
      </c>
      <c r="AR74" s="78">
        <f>IF(AP74&gt;0,$A74,9999)</f>
        <v>33.0</v>
      </c>
      <c r="AS74" s="76">
        <f>IF($A74-$D$12&lt;Premissas!$B$41,0,$C$12*(Premissas!$B$39+(Premissas!$B$40-Premissas!$B$39)*$A74/36)/(1+EXP(-$K$12*($A74-$D$12-$I$12))))</f>
        <v>556.5770365282887</v>
      </c>
      <c r="AT74" s="77">
        <f>(AS74*$B$12+IF($A74&gt;=Premissas!$B$46+$D$12,$F$12,0))*(1-$E$12)*(1-Premissas!$B$60)</f>
        <v>111440.76157165792</v>
      </c>
      <c r="AU74" s="77">
        <f>-(AS74*$J$12+MAX(0,AS74-AS73)*$H$12+IF($A74-$D$12&lt;=2,Premissas!$B$49,IF($A74-$D$12&lt;=5,Premissas!$B$50,IF($A74-$D$12&lt;=8,Premissas!$B$51,$G$12)))+IF($A74=1+$D$12,Premissas!$B$55,IF($A74=3+$D$12,Premissas!$B$56,IF($A74=6+$D$12,Premissas!$B$57,0))))</f>
        <v>-58600.43848935609</v>
      </c>
      <c r="AV74" s="77">
        <f>AT74+AU74</f>
        <v>52840.323082301824</v>
      </c>
      <c r="AW74" s="77">
        <f>AW73+AV74</f>
        <v>668376.8529259239</v>
      </c>
      <c r="AX74" s="78">
        <f>IF(AV74&gt;0,$A74,9999)</f>
        <v>33.0</v>
      </c>
      <c r="AY74" s="78">
        <f>IF(AW74&gt;0,$A74,9999)</f>
        <v>33.0</v>
      </c>
      <c r="AZ74" s="76">
        <f>IF($A74-$D$13&lt;Premissas!$B$41,0,$C$13*(Premissas!$B$39+(Premissas!$B$40-Premissas!$B$39)*$A74/36)/(1+EXP(-$K$13*($A74-$D$13-$I$13))))</f>
        <v>555.9698595550062</v>
      </c>
      <c r="BA74" s="77">
        <f>(AZ74*$B$13+IF($A74&gt;=Premissas!$B$46+$D$13,$F$13,0))*(1-$E$13)*(1-Premissas!$B$60)</f>
        <v>132176.24100521015</v>
      </c>
      <c r="BB74" s="77">
        <f>-(AZ74*$J$13+MAX(0,AZ74-AZ73)*$H$13+IF($A74-$D$13&lt;=2,Premissas!$B$49,IF($A74-$D$13&lt;=5,Premissas!$B$50,IF($A74-$D$13&lt;=8,Premissas!$B$51,$G$13)))+IF($A74=1+$D$13,Premissas!$B$55,IF($A74=3+$D$13,Premissas!$B$56,IF($A74=6+$D$13,Premissas!$B$57,0))))</f>
        <v>-58591.77540365931</v>
      </c>
      <c r="BC74" s="77">
        <f>BA74+BB74</f>
        <v>73584.46560155084</v>
      </c>
      <c r="BD74" s="77">
        <f>BD73+BC74</f>
        <v>689548.788636007</v>
      </c>
      <c r="BE74" s="78">
        <f>IF(BC74&gt;0,$A74,9999)</f>
        <v>33.0</v>
      </c>
      <c r="BF74" s="78">
        <f>IF(BD74&gt;0,$A74,9999)</f>
        <v>33.0</v>
      </c>
      <c r="BG74" s="76">
        <f>IF($A74-$D$14&lt;Premissas!$B$41,0,$C$14*(Premissas!$B$39+(Premissas!$B$40-Premissas!$B$39)*$A74/36)/(1+EXP(-$K$14*($A74-$D$14-$I$14))))</f>
        <v>556.5770365282887</v>
      </c>
      <c r="BH74" s="77">
        <f>(BG74*$B$14+IF($A74&gt;=Premissas!$B$46+$D$14,$F$14,0))*(1-$E$14)*(1-Premissas!$B$60)</f>
        <v>132312.40044146872</v>
      </c>
      <c r="BI74" s="77">
        <f>-(BG74*$J$14+MAX(0,BG74-BG73)*$H$14+IF($A74-$D$14&lt;=2,Premissas!$B$49,IF($A74-$D$14&lt;=5,Premissas!$B$50,IF($A74-$D$14&lt;=8,Premissas!$B$51,$G$14)))+IF($A74=1+$D$14,Premissas!$B$55,IF($A74=3+$D$14,Premissas!$B$56,IF($A74=6+$D$14,Premissas!$B$57,0))))</f>
        <v>-48600.43848935609</v>
      </c>
      <c r="BJ74" s="77">
        <f>BH74+BI74</f>
        <v>83711.96195211263</v>
      </c>
      <c r="BK74" s="77">
        <f>BK73+BJ74</f>
        <v>1326072.631359172</v>
      </c>
      <c r="BL74" s="78">
        <f>IF(BJ74&gt;0,$A74,9999)</f>
        <v>33.0</v>
      </c>
      <c r="BM74" s="78">
        <f>IF(BK74&gt;0,$A74,9999)</f>
        <v>33.0</v>
      </c>
      <c r="BN74" s="76">
        <f>IF($A74-$D$15&lt;Premissas!$B$41,0,$C$15*(Premissas!$B$39+(Premissas!$B$40-Premissas!$B$39)*$A74/36)/(1+EXP(-$K$15*($A74-$D$15-$I$15))))</f>
        <v>189.6001499876656</v>
      </c>
      <c r="BO74" s="77">
        <f>(BN74*$B$15+IF($A74&gt;=Premissas!$B$46+$D$15,$F$15,0))*(1-$E$15)*(1-Premissas!$B$60)</f>
        <v>70482.44784606533</v>
      </c>
      <c r="BP74" s="77">
        <f>-(BN74*$J$15+MAX(0,BN74-BN73)*$H$15+IF($A74-$D$15&lt;=2,Premissas!$B$49,IF($A74-$D$15&lt;=5,Premissas!$B$50,IF($A74-$D$15&lt;=8,Premissas!$B$51,$G$15)))+IF($A74=1+$D$15,Premissas!$B$55,IF($A74=3+$D$15,Premissas!$B$56,IF($A74=6+$D$15,Premissas!$B$57,0))))</f>
        <v>-44262.03711234867</v>
      </c>
      <c r="BQ74" s="77">
        <f>BO74+BP74</f>
        <v>26220.410733716664</v>
      </c>
      <c r="BR74" s="77">
        <f>BR73+BQ74</f>
        <v>-50016.10271881653</v>
      </c>
      <c r="BS74" s="78">
        <f>IF(BQ74&gt;0,$A74,9999)</f>
        <v>33.0</v>
      </c>
      <c r="BT74" s="78">
        <f>IF(BR74&gt;0,$A74,9999)</f>
        <v>9999.0</v>
      </c>
      <c r="BU74" s="76">
        <f>IF($A74-$D$16&lt;Premissas!$B$41,0,$C$16*(Premissas!$B$39+(Premissas!$B$40-Premissas!$B$39)*$A74/36)/(1+EXP(-$K$16*($A74-$D$16-$I$16))))</f>
        <v>379.2002999753312</v>
      </c>
      <c r="BV74" s="77">
        <f>(BU74*$B$16+IF($A74&gt;=Premissas!$B$46+$D$16,$F$16,0))*(1-$E$16)*(1-Premissas!$B$60)</f>
        <v>85127.18219988493</v>
      </c>
      <c r="BW74" s="77">
        <f>-(BU74*$J$16+MAX(0,BU74-BU73)*$H$16+IF($A74-$D$16&lt;=2,Premissas!$B$49,IF($A74-$D$16&lt;=5,Premissas!$B$50,IF($A74-$D$16&lt;=8,Premissas!$B$51,$G$16)))+IF($A74=1+$D$16,Premissas!$B$55,IF($A74=3+$D$16,Premissas!$B$56,IF($A74=6+$D$16,Premissas!$B$57,0))))</f>
        <v>-53524.074224697346</v>
      </c>
      <c r="BX74" s="77">
        <f>BV74+BW74</f>
        <v>31603.107975187588</v>
      </c>
      <c r="BY74" s="77">
        <f>BY73+BX74</f>
        <v>-57773.0436120366</v>
      </c>
      <c r="BZ74" s="78">
        <f>IF(BX74&gt;0,$A74,9999)</f>
        <v>33.0</v>
      </c>
      <c r="CA74" s="78">
        <f>IF(BY74&gt;0,$A74,9999)</f>
        <v>9999.0</v>
      </c>
      <c r="CB74" s="76">
        <f>IF($A74-$D$17&lt;Premissas!$B$41,0,$C$17*(Premissas!$B$39+(Premissas!$B$40-Premissas!$B$39)*$A74/36)/(1+EXP(-$K$17*($A74-$D$17-$I$17))))</f>
        <v>184.9485442225551</v>
      </c>
      <c r="CC74" s="77">
        <f>(CB74*$B$17+IF($A74&gt;=Premissas!$B$46+$D$17,$F$17,0))*(1-$E$17)*(1-Premissas!$B$60)</f>
        <v>44849.080644546804</v>
      </c>
      <c r="CD74" s="77">
        <f>-(CB74*$J$17+MAX(0,CB74-CB73)*$H$17+IF($A74-$D$17&lt;=2,Premissas!$B$49,IF($A74-$D$17&lt;=5,Premissas!$B$50,IF($A74-$D$17&lt;=8,Premissas!$B$51,$G$17)))+IF($A74=1+$D$17,Premissas!$B$55,IF($A74=3+$D$17,Premissas!$B$56,IF($A74=6+$D$17,Premissas!$B$57,0))))</f>
        <v>-44702.53178720188</v>
      </c>
      <c r="CE74" s="77">
        <f>CC74+CD74</f>
        <v>146.54885734492564</v>
      </c>
      <c r="CF74" s="77">
        <f>CF73+CE74</f>
        <v>-500074.7827066871</v>
      </c>
      <c r="CG74" s="78">
        <f>IF(CE74&gt;0,$A74,9999)</f>
        <v>33.0</v>
      </c>
      <c r="CH74" s="78">
        <f>IF(CF74&gt;0,$A74,9999)</f>
        <v>9999.0</v>
      </c>
    </row>
    <row r="75">
      <c r="A75" s="14" t="n">
        <v>34</v>
      </c>
      <c r="C75" s="76">
        <f>IF($A75-$D$6&lt;Premissas!$B$41,0,$C$6*(Premissas!$B$39+(Premissas!$B$40-Premissas!$B$39)*$A75/36)/(1+EXP(-$K$6*($A75-$D$6-$I$6))))</f>
        <v>382.6913191677687</v>
      </c>
      <c r="D75" s="77">
        <f>(C75*$B$6+IF($A75&gt;=Premissas!$B$46+$D$6,$F$6,0))*(1-$E$6)*(1-Premissas!$B$60)</f>
        <v>132078.53081451822</v>
      </c>
      <c r="E75" s="77">
        <f>-(C75*$J$6+MAX(0,C75-C74)*$H$6+IF($A75-$D$6&lt;=2,Premissas!$B$49,IF($A75-$D$6&lt;=5,Premissas!$B$50,IF($A75-$D$6&lt;=8,Premissas!$B$51,$G$6)))+IF($A75=1+$D$6,Premissas!$B$55,IF($A75=3+$D$6,Premissas!$B$56,IF($A75=6+$D$6,Premissas!$B$57,0))))</f>
        <v>-53617.51703952461</v>
      </c>
      <c r="F75" s="77">
        <f>D75+E75</f>
        <v>78461.01377499361</v>
      </c>
      <c r="G75" s="77">
        <f>G74+F75</f>
        <v>793428.8083373606</v>
      </c>
      <c r="H75" s="78">
        <f>IF(F75&gt;0,$A75,9999)</f>
        <v>34.0</v>
      </c>
      <c r="I75" s="78">
        <f>IF(G75&gt;0,$A75,9999)</f>
        <v>34.0</v>
      </c>
      <c r="J75" s="76">
        <f>IF($A75-$D$7&lt;Premissas!$B$41,0,$C$7*(Premissas!$B$39+(Premissas!$B$40-Premissas!$B$39)*$A75/36)/(1+EXP(-$K$7*($A75-$D$7-$I$7))))</f>
        <v>561.0524049295212</v>
      </c>
      <c r="K75" s="77">
        <f>(J75*$B$7+IF($A75&gt;=Premissas!$B$46+$D$7,$F$7,0))*(1-$E$7)*(1-Premissas!$B$60)</f>
        <v>133316.00180544512</v>
      </c>
      <c r="L75" s="77">
        <f>-(J75*$J$7+MAX(0,J75-J74)*$H$7+IF($A75-$D$7&lt;=2,Premissas!$B$49,IF($A75-$D$7&lt;=5,Premissas!$B$50,IF($A75-$D$7&lt;=8,Premissas!$B$51,$G$7)))+IF($A75=1+$D$7,Premissas!$B$55,IF($A75=3+$D$7,Premissas!$B$56,IF($A75=6+$D$7,Premissas!$B$57,0))))</f>
        <v>-58787.96942710152</v>
      </c>
      <c r="M75" s="77">
        <f>K75+L75</f>
        <v>74528.0323783436</v>
      </c>
      <c r="N75" s="77">
        <f>N74+M75</f>
        <v>1150600.6637375157</v>
      </c>
      <c r="O75" s="78">
        <f>IF(M75&gt;0,$A75,9999)</f>
        <v>34.0</v>
      </c>
      <c r="P75" s="78">
        <f>IF(N75&gt;0,$A75,9999)</f>
        <v>34.0</v>
      </c>
      <c r="Q75" s="76">
        <f>IF($A75-$D$8&lt;Premissas!$B$41,0,$C$8*(Premissas!$B$39+(Premissas!$B$40-Premissas!$B$39)*$A75/36)/(1+EXP(-$K$8*($A75-$D$8-$I$8))))</f>
        <v>561.0524049295212</v>
      </c>
      <c r="R75" s="77">
        <f>(Q75*$B$8+IF($A75&gt;=Premissas!$B$46+$D$8,$F$8,0))*(1-$E$8)*(1-Premissas!$B$60)</f>
        <v>177754.66907392684</v>
      </c>
      <c r="S75" s="77">
        <f>-(Q75*$J$8+MAX(0,Q75-Q74)*$H$8+IF($A75-$D$8&lt;=2,Premissas!$B$49,IF($A75-$D$8&lt;=5,Premissas!$B$50,IF($A75-$D$8&lt;=8,Premissas!$B$51,$G$8)))+IF($A75=1+$D$8,Premissas!$B$55,IF($A75=3+$D$8,Premissas!$B$56,IF($A75=6+$D$8,Premissas!$B$57,0))))</f>
        <v>-58787.96942710152</v>
      </c>
      <c r="T75" s="77">
        <f>R75+S75</f>
        <v>118966.69964682532</v>
      </c>
      <c r="U75" s="77">
        <f>U74+T75</f>
        <v>2070212.9160162718</v>
      </c>
      <c r="V75" s="78">
        <f>IF(T75&gt;0,$A75,9999)</f>
        <v>34.0</v>
      </c>
      <c r="W75" s="78">
        <f>IF(U75&gt;0,$A75,9999)</f>
        <v>34.0</v>
      </c>
      <c r="X75" s="76">
        <f>IF($A75-$D$9&lt;Premissas!$B$41,0,$C$9*(Premissas!$B$39+(Premissas!$B$40-Premissas!$B$39)*$A75/36)/(1+EXP(-$K$9*($A75-$D$9-$I$9))))</f>
        <v>561.0524049295212</v>
      </c>
      <c r="Y75" s="77">
        <f>(X75*$B$9+IF($A75&gt;=Premissas!$B$46+$D$9,$F$9,0))*(1-$E$9)*(1-Premissas!$B$60)</f>
        <v>142203.73525914148</v>
      </c>
      <c r="Z75" s="77">
        <f>-(X75*$J$9+MAX(0,X75-X74)*$H$9+IF($A75-$D$9&lt;=2,Premissas!$B$49,IF($A75-$D$9&lt;=5,Premissas!$B$50,IF($A75-$D$9&lt;=8,Premissas!$B$51,$G$9)))+IF($A75=1+$D$9,Premissas!$B$55,IF($A75=3+$D$9,Premissas!$B$56,IF($A75=6+$D$9,Premissas!$B$57,0))))</f>
        <v>-58787.96942710152</v>
      </c>
      <c r="AA75" s="77">
        <f>Y75+Z75</f>
        <v>83415.76583203996</v>
      </c>
      <c r="AB75" s="77">
        <f>AB74+AA75</f>
        <v>1334523.1141932667</v>
      </c>
      <c r="AC75" s="78">
        <f>IF(AA75&gt;0,$A75,9999)</f>
        <v>34.0</v>
      </c>
      <c r="AD75" s="78">
        <f>IF(AB75&gt;0,$A75,9999)</f>
        <v>34.0</v>
      </c>
      <c r="AE75" s="76">
        <f>IF($A75-$D$10&lt;Premissas!$B$41,0,$C$10*(Premissas!$B$39+(Premissas!$B$40-Premissas!$B$39)*$A75/36)/(1+EXP(-$K$10*($A75-$D$10-$I$10))))</f>
        <v>561.0524049295212</v>
      </c>
      <c r="AF75" s="77">
        <f>(AE75*$B$10+IF($A75&gt;=Premissas!$B$46+$D$10,$F$10,0))*(1-$E$10)*(1-Premissas!$B$60)</f>
        <v>124428.26835174877</v>
      </c>
      <c r="AG75" s="77">
        <f>-(AE75*$J$10+MAX(0,AE75-AE74)*$H$10+IF($A75-$D$10&lt;=2,Premissas!$B$49,IF($A75-$D$10&lt;=5,Premissas!$B$50,IF($A75-$D$10&lt;=8,Premissas!$B$51,$G$10)))+IF($A75=1+$D$10,Premissas!$B$55,IF($A75=3+$D$10,Premissas!$B$56,IF($A75=6+$D$10,Premissas!$B$57,0))))</f>
        <v>-58787.96942710152</v>
      </c>
      <c r="AH75" s="77">
        <f>AF75+AG75</f>
        <v>65640.29892464726</v>
      </c>
      <c r="AI75" s="77">
        <f>AI74+AH75</f>
        <v>966678.213281764</v>
      </c>
      <c r="AJ75" s="78">
        <f>IF(AH75&gt;0,$A75,9999)</f>
        <v>34.0</v>
      </c>
      <c r="AK75" s="78">
        <f>IF(AI75&gt;0,$A75,9999)</f>
        <v>34.0</v>
      </c>
      <c r="AL75" s="76">
        <f>IF($A75-$D$11&lt;Premissas!$B$41,0,$C$11*(Premissas!$B$39+(Premissas!$B$40-Premissas!$B$39)*$A75/36)/(1+EXP(-$K$11*($A75-$D$11-$I$11))))</f>
        <v>561.0524049295212</v>
      </c>
      <c r="AM75" s="77">
        <f>(AL75*$B$11+IF($A75&gt;=Premissas!$B$46+$D$11,$F$11,0))*(1-$E$11)*(1-Premissas!$B$60)</f>
        <v>106652.8014443561</v>
      </c>
      <c r="AN75" s="77">
        <f>-(AL75*$J$11+MAX(0,AL75-AL74)*$H$11+IF($A75-$D$11&lt;=2,Premissas!$B$49,IF($A75-$D$11&lt;=5,Premissas!$B$50,IF($A75-$D$11&lt;=8,Premissas!$B$51,$G$11)))+IF($A75=1+$D$11,Premissas!$B$55,IF($A75=3+$D$11,Premissas!$B$56,IF($A75=6+$D$11,Premissas!$B$57,0))))</f>
        <v>-58787.96942710152</v>
      </c>
      <c r="AO75" s="77">
        <f>AM75+AN75</f>
        <v>47864.83201725458</v>
      </c>
      <c r="AP75" s="77">
        <f>AP74+AO75</f>
        <v>598833.3123702614</v>
      </c>
      <c r="AQ75" s="78">
        <f>IF(AO75&gt;0,$A75,9999)</f>
        <v>34.0</v>
      </c>
      <c r="AR75" s="78">
        <f>IF(AP75&gt;0,$A75,9999)</f>
        <v>34.0</v>
      </c>
      <c r="AS75" s="76">
        <f>IF($A75-$D$12&lt;Premissas!$B$41,0,$C$12*(Premissas!$B$39+(Premissas!$B$40-Premissas!$B$39)*$A75/36)/(1+EXP(-$K$12*($A75-$D$12-$I$12))))</f>
        <v>561.0524049295212</v>
      </c>
      <c r="AT75" s="77">
        <f>(AS75*$B$12+IF($A75&gt;=Premissas!$B$46+$D$12,$F$12,0))*(1-$E$12)*(1-Premissas!$B$60)</f>
        <v>112276.53662058809</v>
      </c>
      <c r="AU75" s="77">
        <f>-(AS75*$J$12+MAX(0,AS75-AS74)*$H$12+IF($A75-$D$12&lt;=2,Premissas!$B$49,IF($A75-$D$12&lt;=5,Premissas!$B$50,IF($A75-$D$12&lt;=8,Premissas!$B$51,$G$12)))+IF($A75=1+$D$12,Premissas!$B$55,IF($A75=3+$D$12,Premissas!$B$56,IF($A75=6+$D$12,Premissas!$B$57,0))))</f>
        <v>-58787.96942710152</v>
      </c>
      <c r="AV75" s="77">
        <f>AT75+AU75</f>
        <v>53488.56719348657</v>
      </c>
      <c r="AW75" s="77">
        <f>AW74+AV75</f>
        <v>721865.4201194105</v>
      </c>
      <c r="AX75" s="78">
        <f>IF(AV75&gt;0,$A75,9999)</f>
        <v>34.0</v>
      </c>
      <c r="AY75" s="78">
        <f>IF(AW75&gt;0,$A75,9999)</f>
        <v>34.0</v>
      </c>
      <c r="AZ75" s="76">
        <f>IF($A75-$D$13&lt;Premissas!$B$41,0,$C$13*(Premissas!$B$39+(Premissas!$B$40-Premissas!$B$39)*$A75/36)/(1+EXP(-$K$13*($A75-$D$13-$I$13))))</f>
        <v>560.661973283006</v>
      </c>
      <c r="BA75" s="77">
        <f>(AZ75*$B$13+IF($A75&gt;=Premissas!$B$46+$D$13,$F$13,0))*(1-$E$13)*(1-Premissas!$B$60)</f>
        <v>133228.4475087141</v>
      </c>
      <c r="BB75" s="77">
        <f>-(AZ75*$J$13+MAX(0,AZ75-AZ74)*$H$13+IF($A75-$D$13&lt;=2,Premissas!$B$49,IF($A75-$D$13&lt;=5,Premissas!$B$50,IF($A75-$D$13&lt;=8,Premissas!$B$51,$G$13)))+IF($A75=1+$D$13,Premissas!$B$55,IF($A75=3+$D$13,Premissas!$B$56,IF($A75=6+$D$13,Premissas!$B$57,0))))</f>
        <v>-58782.408564286234</v>
      </c>
      <c r="BC75" s="77">
        <f>BA75+BB75</f>
        <v>74446.03894442787</v>
      </c>
      <c r="BD75" s="77">
        <f>BD74+BC75</f>
        <v>763994.8275804349</v>
      </c>
      <c r="BE75" s="78">
        <f>IF(BC75&gt;0,$A75,9999)</f>
        <v>34.0</v>
      </c>
      <c r="BF75" s="78">
        <f>IF(BD75&gt;0,$A75,9999)</f>
        <v>34.0</v>
      </c>
      <c r="BG75" s="76">
        <f>IF($A75-$D$14&lt;Premissas!$B$41,0,$C$14*(Premissas!$B$39+(Premissas!$B$40-Premissas!$B$39)*$A75/36)/(1+EXP(-$K$14*($A75-$D$14-$I$14))))</f>
        <v>561.0524049295212</v>
      </c>
      <c r="BH75" s="77">
        <f>(BG75*$B$14+IF($A75&gt;=Premissas!$B$46+$D$14,$F$14,0))*(1-$E$14)*(1-Premissas!$B$60)</f>
        <v>133316.00180544512</v>
      </c>
      <c r="BI75" s="77">
        <f>-(BG75*$J$14+MAX(0,BG75-BG74)*$H$14+IF($A75-$D$14&lt;=2,Premissas!$B$49,IF($A75-$D$14&lt;=5,Premissas!$B$50,IF($A75-$D$14&lt;=8,Premissas!$B$51,$G$14)))+IF($A75=1+$D$14,Premissas!$B$55,IF($A75=3+$D$14,Premissas!$B$56,IF($A75=6+$D$14,Premissas!$B$57,0))))</f>
        <v>-48787.96942710152</v>
      </c>
      <c r="BJ75" s="77">
        <f>BH75+BI75</f>
        <v>84528.0323783436</v>
      </c>
      <c r="BK75" s="77">
        <f>BK74+BJ75</f>
        <v>1410600.6637375157</v>
      </c>
      <c r="BL75" s="78">
        <f>IF(BJ75&gt;0,$A75,9999)</f>
        <v>34.0</v>
      </c>
      <c r="BM75" s="78">
        <f>IF(BK75&gt;0,$A75,9999)</f>
        <v>34.0</v>
      </c>
      <c r="BN75" s="76">
        <f>IF($A75-$D$15&lt;Premissas!$B$41,0,$C$15*(Premissas!$B$39+(Premissas!$B$40-Premissas!$B$39)*$A75/36)/(1+EXP(-$K$15*($A75-$D$15-$I$15))))</f>
        <v>191.34565958388436</v>
      </c>
      <c r="BO75" s="77">
        <f>(BN75*$B$15+IF($A75&gt;=Premissas!$B$46+$D$15,$F$15,0))*(1-$E$15)*(1-Premissas!$B$60)</f>
        <v>71039.26540725911</v>
      </c>
      <c r="BP75" s="77">
        <f>-(BN75*$J$15+MAX(0,BN75-BN74)*$H$15+IF($A75-$D$15&lt;=2,Premissas!$B$49,IF($A75-$D$15&lt;=5,Premissas!$B$50,IF($A75-$D$15&lt;=8,Premissas!$B$51,$G$15)))+IF($A75=1+$D$15,Premissas!$B$55,IF($A75=3+$D$15,Premissas!$B$56,IF($A75=6+$D$15,Premissas!$B$57,0))))</f>
        <v>-44308.758519762305</v>
      </c>
      <c r="BQ75" s="77">
        <f>BO75+BP75</f>
        <v>26730.506887496806</v>
      </c>
      <c r="BR75" s="77">
        <f>BR74+BQ75</f>
        <v>-23285.595831319726</v>
      </c>
      <c r="BS75" s="78">
        <f>IF(BQ75&gt;0,$A75,9999)</f>
        <v>34.0</v>
      </c>
      <c r="BT75" s="78">
        <f>IF(BR75&gt;0,$A75,9999)</f>
        <v>9999.0</v>
      </c>
      <c r="BU75" s="76">
        <f>IF($A75-$D$16&lt;Premissas!$B$41,0,$C$16*(Premissas!$B$39+(Premissas!$B$40-Premissas!$B$39)*$A75/36)/(1+EXP(-$K$16*($A75-$D$16-$I$16))))</f>
        <v>382.6913191677687</v>
      </c>
      <c r="BV75" s="77">
        <f>(BU75*$B$16+IF($A75&gt;=Premissas!$B$46+$D$16,$F$16,0))*(1-$E$16)*(1-Premissas!$B$60)</f>
        <v>85851.04502943685</v>
      </c>
      <c r="BW75" s="77">
        <f>-(BU75*$J$16+MAX(0,BU75-BU74)*$H$16+IF($A75-$D$16&lt;=2,Premissas!$B$49,IF($A75-$D$16&lt;=5,Premissas!$B$50,IF($A75-$D$16&lt;=8,Premissas!$B$51,$G$16)))+IF($A75=1+$D$16,Premissas!$B$55,IF($A75=3+$D$16,Premissas!$B$56,IF($A75=6+$D$16,Premissas!$B$57,0))))</f>
        <v>-53617.51703952461</v>
      </c>
      <c r="BX75" s="77">
        <f>BV75+BW75</f>
        <v>32233.52798991224</v>
      </c>
      <c r="BY75" s="77">
        <f>BY74+BX75</f>
        <v>-25539.51562212436</v>
      </c>
      <c r="BZ75" s="78">
        <f>IF(BX75&gt;0,$A75,9999)</f>
        <v>34.0</v>
      </c>
      <c r="CA75" s="78">
        <f>IF(BY75&gt;0,$A75,9999)</f>
        <v>9999.0</v>
      </c>
      <c r="CB75" s="76">
        <f>IF($A75-$D$17&lt;Premissas!$B$41,0,$C$17*(Premissas!$B$39+(Premissas!$B$40-Premissas!$B$39)*$A75/36)/(1+EXP(-$K$17*($A75-$D$17-$I$17))))</f>
        <v>187.90975377462533</v>
      </c>
      <c r="CC75" s="77">
        <f>(CB75*$B$17+IF($A75&gt;=Premissas!$B$46+$D$17,$F$17,0))*(1-$E$17)*(1-Premissas!$B$60)</f>
        <v>45463.08744516856</v>
      </c>
      <c r="CD75" s="77">
        <f>-(CB75*$J$17+MAX(0,CB75-CB74)*$H$17+IF($A75-$D$17&lt;=2,Premissas!$B$49,IF($A75-$D$17&lt;=5,Premissas!$B$50,IF($A75-$D$17&lt;=8,Premissas!$B$51,$G$17)))+IF($A75=1+$D$17,Premissas!$B$55,IF($A75=3+$D$17,Premissas!$B$56,IF($A75=6+$D$17,Premissas!$B$57,0))))</f>
        <v>-44640.42274068623</v>
      </c>
      <c r="CE75" s="77">
        <f>CC75+CD75</f>
        <v>822.664704482333</v>
      </c>
      <c r="CF75" s="77">
        <f>CF74+CE75</f>
        <v>-499252.1180022048</v>
      </c>
      <c r="CG75" s="78">
        <f>IF(CE75&gt;0,$A75,9999)</f>
        <v>34.0</v>
      </c>
      <c r="CH75" s="78">
        <f>IF(CF75&gt;0,$A75,9999)</f>
        <v>9999.0</v>
      </c>
    </row>
    <row r="76">
      <c r="A76" s="14" t="n">
        <v>35</v>
      </c>
      <c r="C76" s="76">
        <f>IF($A76-$D$6&lt;Premissas!$B$41,0,$C$6*(Premissas!$B$39+(Premissas!$B$40-Premissas!$B$39)*$A76/36)/(1+EXP(-$K$6*($A76-$D$6-$I$6))))</f>
        <v>386.06522567521597</v>
      </c>
      <c r="D76" s="77">
        <f>(C76*$B$6+IF($A76&gt;=Premissas!$B$46+$D$6,$F$6,0))*(1-$E$6)*(1-Premissas!$B$60)</f>
        <v>133154.8069903939</v>
      </c>
      <c r="E76" s="77">
        <f>-(C76*$J$6+MAX(0,C76-C75)*$H$6+IF($A76-$D$6&lt;=2,Premissas!$B$49,IF($A76-$D$6&lt;=5,Premissas!$B$50,IF($A76-$D$6&lt;=8,Premissas!$B$51,$G$6)))+IF($A76=1+$D$6,Premissas!$B$55,IF($A76=3+$D$6,Premissas!$B$56,IF($A76=6+$D$6,Premissas!$B$57,0))))</f>
        <v>-53722.49775836362</v>
      </c>
      <c r="F76" s="77">
        <f>D76+E76</f>
        <v>79432.30923203028</v>
      </c>
      <c r="G76" s="77">
        <f>G75+F76</f>
        <v>872861.1175693909</v>
      </c>
      <c r="H76" s="78">
        <f>IF(F76&gt;0,$A76,9999)</f>
        <v>35.0</v>
      </c>
      <c r="I76" s="78">
        <f>IF(G76&gt;0,$A76,9999)</f>
        <v>35.0</v>
      </c>
      <c r="J76" s="76">
        <f>IF($A76-$D$7&lt;Premissas!$B$41,0,$C$7*(Premissas!$B$39+(Premissas!$B$40-Premissas!$B$39)*$A76/36)/(1+EXP(-$K$7*($A76-$D$7-$I$7))))</f>
        <v>565.5221851453938</v>
      </c>
      <c r="K76" s="77">
        <f>(J76*$B$7+IF($A76&gt;=Premissas!$B$46+$D$7,$F$7,0))*(1-$E$7)*(1-Premissas!$B$60)</f>
        <v>134318.35001885457</v>
      </c>
      <c r="L76" s="77">
        <f>-(J76*$J$7+MAX(0,J76-J75)*$H$7+IF($A76-$D$7&lt;=2,Premissas!$B$49,IF($A76-$D$7&lt;=5,Premissas!$B$50,IF($A76-$D$7&lt;=8,Premissas!$B$51,$G$7)))+IF($A76=1+$D$7,Premissas!$B$55,IF($A76=3+$D$7,Premissas!$B$56,IF($A76=6+$D$7,Premissas!$B$57,0))))</f>
        <v>-58975.42078690017</v>
      </c>
      <c r="M76" s="77">
        <f>K76+L76</f>
        <v>75342.9292319544</v>
      </c>
      <c r="N76" s="77">
        <f>N75+M76</f>
        <v>1225943.5929694702</v>
      </c>
      <c r="O76" s="78">
        <f>IF(M76&gt;0,$A76,9999)</f>
        <v>35.0</v>
      </c>
      <c r="P76" s="78">
        <f>IF(N76&gt;0,$A76,9999)</f>
        <v>35.0</v>
      </c>
      <c r="Q76" s="76">
        <f>IF($A76-$D$8&lt;Premissas!$B$41,0,$C$8*(Premissas!$B$39+(Premissas!$B$40-Premissas!$B$39)*$A76/36)/(1+EXP(-$K$8*($A76-$D$8-$I$8))))</f>
        <v>565.5221851453938</v>
      </c>
      <c r="R76" s="77">
        <f>(Q76*$B$8+IF($A76&gt;=Premissas!$B$46+$D$8,$F$8,0))*(1-$E$8)*(1-Premissas!$B$60)</f>
        <v>179091.13335847275</v>
      </c>
      <c r="S76" s="77">
        <f>-(Q76*$J$8+MAX(0,Q76-Q75)*$H$8+IF($A76-$D$8&lt;=2,Premissas!$B$49,IF($A76-$D$8&lt;=5,Premissas!$B$50,IF($A76-$D$8&lt;=8,Premissas!$B$51,$G$8)))+IF($A76=1+$D$8,Premissas!$B$55,IF($A76=3+$D$8,Premissas!$B$56,IF($A76=6+$D$8,Premissas!$B$57,0))))</f>
        <v>-58975.42078690017</v>
      </c>
      <c r="T76" s="77">
        <f>R76+S76</f>
        <v>120115.71257157259</v>
      </c>
      <c r="U76" s="77">
        <f>U75+T76</f>
        <v>2190328.6285878443</v>
      </c>
      <c r="V76" s="78">
        <f>IF(T76&gt;0,$A76,9999)</f>
        <v>35.0</v>
      </c>
      <c r="W76" s="78">
        <f>IF(U76&gt;0,$A76,9999)</f>
        <v>35.0</v>
      </c>
      <c r="X76" s="76">
        <f>IF($A76-$D$9&lt;Premissas!$B$41,0,$C$9*(Premissas!$B$39+(Premissas!$B$40-Premissas!$B$39)*$A76/36)/(1+EXP(-$K$9*($A76-$D$9-$I$9))))</f>
        <v>565.5221851453938</v>
      </c>
      <c r="Y76" s="77">
        <f>(X76*$B$9+IF($A76&gt;=Premissas!$B$46+$D$9,$F$9,0))*(1-$E$9)*(1-Premissas!$B$60)</f>
        <v>143272.9066867782</v>
      </c>
      <c r="Z76" s="77">
        <f>-(X76*$J$9+MAX(0,X76-X75)*$H$9+IF($A76-$D$9&lt;=2,Premissas!$B$49,IF($A76-$D$9&lt;=5,Premissas!$B$50,IF($A76-$D$9&lt;=8,Premissas!$B$51,$G$9)))+IF($A76=1+$D$9,Premissas!$B$55,IF($A76=3+$D$9,Premissas!$B$56,IF($A76=6+$D$9,Premissas!$B$57,0))))</f>
        <v>-58975.42078690017</v>
      </c>
      <c r="AA76" s="77">
        <f>Y76+Z76</f>
        <v>84297.48589987804</v>
      </c>
      <c r="AB76" s="77">
        <f>AB75+AA76</f>
        <v>1418820.6000931447</v>
      </c>
      <c r="AC76" s="78">
        <f>IF(AA76&gt;0,$A76,9999)</f>
        <v>35.0</v>
      </c>
      <c r="AD76" s="78">
        <f>IF(AB76&gt;0,$A76,9999)</f>
        <v>35.0</v>
      </c>
      <c r="AE76" s="76">
        <f>IF($A76-$D$10&lt;Premissas!$B$41,0,$C$10*(Premissas!$B$39+(Premissas!$B$40-Premissas!$B$39)*$A76/36)/(1+EXP(-$K$10*($A76-$D$10-$I$10))))</f>
        <v>565.5221851453938</v>
      </c>
      <c r="AF76" s="77">
        <f>(AE76*$B$10+IF($A76&gt;=Premissas!$B$46+$D$10,$F$10,0))*(1-$E$10)*(1-Premissas!$B$60)</f>
        <v>125363.79335093092</v>
      </c>
      <c r="AG76" s="77">
        <f>-(AE76*$J$10+MAX(0,AE76-AE75)*$H$10+IF($A76-$D$10&lt;=2,Premissas!$B$49,IF($A76-$D$10&lt;=5,Premissas!$B$50,IF($A76-$D$10&lt;=8,Premissas!$B$51,$G$10)))+IF($A76=1+$D$10,Premissas!$B$55,IF($A76=3+$D$10,Premissas!$B$56,IF($A76=6+$D$10,Premissas!$B$57,0))))</f>
        <v>-58975.42078690017</v>
      </c>
      <c r="AH76" s="77">
        <f>AF76+AG76</f>
        <v>66388.37256403075</v>
      </c>
      <c r="AI76" s="77">
        <f>AI75+AH76</f>
        <v>1033066.5858457948</v>
      </c>
      <c r="AJ76" s="78">
        <f>IF(AH76&gt;0,$A76,9999)</f>
        <v>35.0</v>
      </c>
      <c r="AK76" s="78">
        <f>IF(AI76&gt;0,$A76,9999)</f>
        <v>35.0</v>
      </c>
      <c r="AL76" s="76">
        <f>IF($A76-$D$11&lt;Premissas!$B$41,0,$C$11*(Premissas!$B$39+(Premissas!$B$40-Premissas!$B$39)*$A76/36)/(1+EXP(-$K$11*($A76-$D$11-$I$11))))</f>
        <v>565.5221851453938</v>
      </c>
      <c r="AM76" s="77">
        <f>(AL76*$B$11+IF($A76&gt;=Premissas!$B$46+$D$11,$F$11,0))*(1-$E$11)*(1-Premissas!$B$60)</f>
        <v>107454.68001508365</v>
      </c>
      <c r="AN76" s="77">
        <f>-(AL76*$J$11+MAX(0,AL76-AL75)*$H$11+IF($A76-$D$11&lt;=2,Premissas!$B$49,IF($A76-$D$11&lt;=5,Premissas!$B$50,IF($A76-$D$11&lt;=8,Premissas!$B$51,$G$11)))+IF($A76=1+$D$11,Premissas!$B$55,IF($A76=3+$D$11,Premissas!$B$56,IF($A76=6+$D$11,Premissas!$B$57,0))))</f>
        <v>-58975.42078690017</v>
      </c>
      <c r="AO76" s="77">
        <f>AM76+AN76</f>
        <v>48479.25922818348</v>
      </c>
      <c r="AP76" s="77">
        <f>AP75+AO76</f>
        <v>647312.5715984448</v>
      </c>
      <c r="AQ76" s="78">
        <f>IF(AO76&gt;0,$A76,9999)</f>
        <v>35.0</v>
      </c>
      <c r="AR76" s="78">
        <f>IF(AP76&gt;0,$A76,9999)</f>
        <v>35.0</v>
      </c>
      <c r="AS76" s="76">
        <f>IF($A76-$D$12&lt;Premissas!$B$41,0,$C$12*(Premissas!$B$39+(Premissas!$B$40-Premissas!$B$39)*$A76/36)/(1+EXP(-$K$12*($A76-$D$12-$I$12))))</f>
        <v>565.5221851453938</v>
      </c>
      <c r="AT76" s="77">
        <f>(AS76*$B$12+IF($A76&gt;=Premissas!$B$46+$D$12,$F$12,0))*(1-$E$12)*(1-Premissas!$B$60)</f>
        <v>113111.26807590228</v>
      </c>
      <c r="AU76" s="77">
        <f>-(AS76*$J$12+MAX(0,AS76-AS75)*$H$12+IF($A76-$D$12&lt;=2,Premissas!$B$49,IF($A76-$D$12&lt;=5,Premissas!$B$50,IF($A76-$D$12&lt;=8,Premissas!$B$51,$G$12)))+IF($A76=1+$D$12,Premissas!$B$55,IF($A76=3+$D$12,Premissas!$B$56,IF($A76=6+$D$12,Premissas!$B$57,0))))</f>
        <v>-58975.42078690017</v>
      </c>
      <c r="AV76" s="77">
        <f>AT76+AU76</f>
        <v>54135.84728900211</v>
      </c>
      <c r="AW76" s="77">
        <f>AW75+AV76</f>
        <v>776001.2674084126</v>
      </c>
      <c r="AX76" s="78">
        <f>IF(AV76&gt;0,$A76,9999)</f>
        <v>35.0</v>
      </c>
      <c r="AY76" s="78">
        <f>IF(AW76&gt;0,$A76,9999)</f>
        <v>35.0</v>
      </c>
      <c r="AZ76" s="76">
        <f>IF($A76-$D$13&lt;Premissas!$B$41,0,$C$13*(Premissas!$B$39+(Premissas!$B$40-Premissas!$B$39)*$A76/36)/(1+EXP(-$K$13*($A76-$D$13-$I$13))))</f>
        <v>565.2711837494484</v>
      </c>
      <c r="BA76" s="77">
        <f>(AZ76*$B$13+IF($A76&gt;=Premissas!$B$46+$D$13,$F$13,0))*(1-$E$13)*(1-Premissas!$B$60)</f>
        <v>134262.0629558138</v>
      </c>
      <c r="BB76" s="77">
        <f>-(AZ76*$J$13+MAX(0,AZ76-AZ75)*$H$13+IF($A76-$D$13&lt;=2,Premissas!$B$49,IF($A76-$D$13&lt;=5,Premissas!$B$50,IF($A76-$D$13&lt;=8,Premissas!$B$51,$G$13)))+IF($A76=1+$D$13,Premissas!$B$55,IF($A76=3+$D$13,Premissas!$B$56,IF($A76=6+$D$13,Premissas!$B$57,0))))</f>
        <v>-58971.85024079895</v>
      </c>
      <c r="BC76" s="77">
        <f>BA76+BB76</f>
        <v>75290.21271501484</v>
      </c>
      <c r="BD76" s="77">
        <f>BD75+BC76</f>
        <v>839285.0402954497</v>
      </c>
      <c r="BE76" s="78">
        <f>IF(BC76&gt;0,$A76,9999)</f>
        <v>35.0</v>
      </c>
      <c r="BF76" s="78">
        <f>IF(BD76&gt;0,$A76,9999)</f>
        <v>35.0</v>
      </c>
      <c r="BG76" s="76">
        <f>IF($A76-$D$14&lt;Premissas!$B$41,0,$C$14*(Premissas!$B$39+(Premissas!$B$40-Premissas!$B$39)*$A76/36)/(1+EXP(-$K$14*($A76-$D$14-$I$14))))</f>
        <v>565.5221851453938</v>
      </c>
      <c r="BH76" s="77">
        <f>(BG76*$B$14+IF($A76&gt;=Premissas!$B$46+$D$14,$F$14,0))*(1-$E$14)*(1-Premissas!$B$60)</f>
        <v>134318.35001885457</v>
      </c>
      <c r="BI76" s="77">
        <f>-(BG76*$J$14+MAX(0,BG76-BG75)*$H$14+IF($A76-$D$14&lt;=2,Premissas!$B$49,IF($A76-$D$14&lt;=5,Premissas!$B$50,IF($A76-$D$14&lt;=8,Premissas!$B$51,$G$14)))+IF($A76=1+$D$14,Premissas!$B$55,IF($A76=3+$D$14,Premissas!$B$56,IF($A76=6+$D$14,Premissas!$B$57,0))))</f>
        <v>-48975.42078690017</v>
      </c>
      <c r="BJ76" s="77">
        <f>BH76+BI76</f>
        <v>85342.9292319544</v>
      </c>
      <c r="BK76" s="77">
        <f>BK75+BJ76</f>
        <v>1495943.5929694702</v>
      </c>
      <c r="BL76" s="78">
        <f>IF(BJ76&gt;0,$A76,9999)</f>
        <v>35.0</v>
      </c>
      <c r="BM76" s="78">
        <f>IF(BK76&gt;0,$A76,9999)</f>
        <v>35.0</v>
      </c>
      <c r="BN76" s="76">
        <f>IF($A76-$D$15&lt;Premissas!$B$41,0,$C$15*(Premissas!$B$39+(Premissas!$B$40-Premissas!$B$39)*$A76/36)/(1+EXP(-$K$15*($A76-$D$15-$I$15))))</f>
        <v>193.03261283760799</v>
      </c>
      <c r="BO76" s="77">
        <f>(BN76*$B$15+IF($A76&gt;=Premissas!$B$46+$D$15,$F$15,0))*(1-$E$15)*(1-Premissas!$B$60)</f>
        <v>71577.40349519695</v>
      </c>
      <c r="BP76" s="77">
        <f>-(BN76*$J$15+MAX(0,BN76-BN75)*$H$15+IF($A76-$D$15&lt;=2,Premissas!$B$49,IF($A76-$D$15&lt;=5,Premissas!$B$50,IF($A76-$D$15&lt;=8,Premissas!$B$51,$G$15)))+IF($A76=1+$D$15,Premissas!$B$55,IF($A76=3+$D$15,Premissas!$B$56,IF($A76=6+$D$15,Premissas!$B$57,0))))</f>
        <v>-44361.24887918181</v>
      </c>
      <c r="BQ76" s="77">
        <f>BO76+BP76</f>
        <v>27216.15461601514</v>
      </c>
      <c r="BR76" s="77">
        <f>BR75+BQ76</f>
        <v>3930.558784695415</v>
      </c>
      <c r="BS76" s="78">
        <f>IF(BQ76&gt;0,$A76,9999)</f>
        <v>35.0</v>
      </c>
      <c r="BT76" s="78">
        <f>IF(BR76&gt;0,$A76,9999)</f>
        <v>35.0</v>
      </c>
      <c r="BU76" s="76">
        <f>IF($A76-$D$16&lt;Premissas!$B$41,0,$C$16*(Premissas!$B$39+(Premissas!$B$40-Premissas!$B$39)*$A76/36)/(1+EXP(-$K$16*($A76-$D$16-$I$16))))</f>
        <v>386.06522567521597</v>
      </c>
      <c r="BV76" s="77">
        <f>(BU76*$B$16+IF($A76&gt;=Premissas!$B$46+$D$16,$F$16,0))*(1-$E$16)*(1-Premissas!$B$60)</f>
        <v>86550.62454375604</v>
      </c>
      <c r="BW76" s="77">
        <f>-(BU76*$J$16+MAX(0,BU76-BU75)*$H$16+IF($A76-$D$16&lt;=2,Premissas!$B$49,IF($A76-$D$16&lt;=5,Premissas!$B$50,IF($A76-$D$16&lt;=8,Premissas!$B$51,$G$16)))+IF($A76=1+$D$16,Premissas!$B$55,IF($A76=3+$D$16,Premissas!$B$56,IF($A76=6+$D$16,Premissas!$B$57,0))))</f>
        <v>-53722.49775836362</v>
      </c>
      <c r="BX76" s="77">
        <f>BV76+BW76</f>
        <v>32828.12678539242</v>
      </c>
      <c r="BY76" s="77">
        <f>BY75+BX76</f>
        <v>7288.611163268062</v>
      </c>
      <c r="BZ76" s="78">
        <f>IF(BX76&gt;0,$A76,9999)</f>
        <v>35.0</v>
      </c>
      <c r="CA76" s="78">
        <f>IF(BY76&gt;0,$A76,9999)</f>
        <v>35.0</v>
      </c>
      <c r="CB76" s="76">
        <f>IF($A76-$D$17&lt;Premissas!$B$41,0,$C$17*(Premissas!$B$39+(Premissas!$B$40-Premissas!$B$39)*$A76/36)/(1+EXP(-$K$17*($A76-$D$17-$I$17))))</f>
        <v>190.50104939333164</v>
      </c>
      <c r="CC76" s="77">
        <f>(CB76*$B$17+IF($A76&gt;=Premissas!$B$46+$D$17,$F$17,0))*(1-$E$17)*(1-Premissas!$B$60)</f>
        <v>46000.392591707314</v>
      </c>
      <c r="CD76" s="77">
        <f>-(CB76*$J$17+MAX(0,CB76-CB75)*$H$17+IF($A76-$D$17&lt;=2,Premissas!$B$49,IF($A76-$D$17&lt;=5,Premissas!$B$50,IF($A76-$D$17&lt;=8,Premissas!$B$51,$G$17)))+IF($A76=1+$D$17,Premissas!$B$55,IF($A76=3+$D$17,Premissas!$B$56,IF($A76=6+$D$17,Premissas!$B$57,0))))</f>
        <v>-44609.06547018245</v>
      </c>
      <c r="CE76" s="77">
        <f>CC76+CD76</f>
        <v>1391.3271215248606</v>
      </c>
      <c r="CF76" s="77">
        <f>CF75+CE76</f>
        <v>-497860.79088067997</v>
      </c>
      <c r="CG76" s="78">
        <f>IF(CE76&gt;0,$A76,9999)</f>
        <v>35.0</v>
      </c>
      <c r="CH76" s="78">
        <f>IF(CF76&gt;0,$A76,9999)</f>
        <v>9999.0</v>
      </c>
    </row>
    <row r="77">
      <c r="A77" s="14" t="n">
        <v>36</v>
      </c>
      <c r="C77" s="76">
        <f>IF($A77-$D$6&lt;Premissas!$B$41,0,$C$6*(Premissas!$B$39+(Premissas!$B$40-Premissas!$B$39)*$A77/36)/(1+EXP(-$K$6*($A77-$D$6-$I$6))))</f>
        <v>389.35306757873195</v>
      </c>
      <c r="D77" s="77">
        <f>(C77*$B$6+IF($A77&gt;=Premissas!$B$46+$D$6,$F$6,0))*(1-$E$6)*(1-Premissas!$B$60)</f>
        <v>134203.6285576155</v>
      </c>
      <c r="E77" s="77">
        <f>-(C77*$J$6+MAX(0,C77-C76)*$H$6+IF($A77-$D$6&lt;=2,Premissas!$B$49,IF($A77-$D$6&lt;=5,Premissas!$B$50,IF($A77-$D$6&lt;=8,Premissas!$B$51,$G$6)))+IF($A77=1+$D$6,Premissas!$B$55,IF($A77=3+$D$6,Premissas!$B$56,IF($A77=6+$D$6,Premissas!$B$57,0))))</f>
        <v>-53836.024802449334</v>
      </c>
      <c r="F77" s="77">
        <f>D77+E77</f>
        <v>80367.60375516617</v>
      </c>
      <c r="G77" s="77">
        <f>G76+F77</f>
        <v>953228.7213245571</v>
      </c>
      <c r="H77" s="78">
        <f>IF(F77&gt;0,$A77,9999)</f>
        <v>36.0</v>
      </c>
      <c r="I77" s="78">
        <f>IF(G77&gt;0,$A77,9999)</f>
        <v>36.0</v>
      </c>
      <c r="J77" s="76">
        <f>IF($A77-$D$7&lt;Premissas!$B$41,0,$C$7*(Premissas!$B$39+(Premissas!$B$40-Premissas!$B$39)*$A77/36)/(1+EXP(-$K$7*($A77-$D$7-$I$7))))</f>
        <v>569.9883725202504</v>
      </c>
      <c r="K77" s="77">
        <f>(J77*$B$7+IF($A77&gt;=Premissas!$B$46+$D$7,$F$7,0))*(1-$E$7)*(1-Premissas!$B$60)</f>
        <v>135319.89253766616</v>
      </c>
      <c r="L77" s="77">
        <f>-(J77*$J$7+MAX(0,J77-J76)*$H$7+IF($A77-$D$7&lt;=2,Premissas!$B$49,IF($A77-$D$7&lt;=5,Premissas!$B$50,IF($A77-$D$7&lt;=8,Premissas!$B$51,$G$7)))+IF($A77=1+$D$7,Premissas!$B$55,IF($A77=3+$D$7,Premissas!$B$56,IF($A77=6+$D$7,Premissas!$B$57,0))))</f>
        <v>-59162.821014593355</v>
      </c>
      <c r="M77" s="77">
        <f>K77+L77</f>
        <v>76157.07152307281</v>
      </c>
      <c r="N77" s="77">
        <f>N76+M77</f>
        <v>1302100.664492543</v>
      </c>
      <c r="O77" s="78">
        <f>IF(M77&gt;0,$A77,9999)</f>
        <v>36.0</v>
      </c>
      <c r="P77" s="78">
        <f>IF(N77&gt;0,$A77,9999)</f>
        <v>36.0</v>
      </c>
      <c r="Q77" s="76">
        <f>IF($A77-$D$8&lt;Premissas!$B$41,0,$C$8*(Premissas!$B$39+(Premissas!$B$40-Premissas!$B$39)*$A77/36)/(1+EXP(-$K$8*($A77-$D$8-$I$8))))</f>
        <v>569.9883725202504</v>
      </c>
      <c r="R77" s="77">
        <f>(Q77*$B$8+IF($A77&gt;=Premissas!$B$46+$D$8,$F$8,0))*(1-$E$8)*(1-Premissas!$B$60)</f>
        <v>180426.5233835549</v>
      </c>
      <c r="S77" s="77">
        <f>-(Q77*$J$8+MAX(0,Q77-Q76)*$H$8+IF($A77-$D$8&lt;=2,Premissas!$B$49,IF($A77-$D$8&lt;=5,Premissas!$B$50,IF($A77-$D$8&lt;=8,Premissas!$B$51,$G$8)))+IF($A77=1+$D$8,Premissas!$B$55,IF($A77=3+$D$8,Premissas!$B$56,IF($A77=6+$D$8,Premissas!$B$57,0))))</f>
        <v>-59162.821014593355</v>
      </c>
      <c r="T77" s="77">
        <f>R77+S77</f>
        <v>121263.70236896153</v>
      </c>
      <c r="U77" s="77">
        <f>U76+T77</f>
        <v>2311592.330956806</v>
      </c>
      <c r="V77" s="78">
        <f>IF(T77&gt;0,$A77,9999)</f>
        <v>36.0</v>
      </c>
      <c r="W77" s="78">
        <f>IF(U77&gt;0,$A77,9999)</f>
        <v>36.0</v>
      </c>
      <c r="X77" s="76">
        <f>IF($A77-$D$9&lt;Premissas!$B$41,0,$C$9*(Premissas!$B$39+(Premissas!$B$40-Premissas!$B$39)*$A77/36)/(1+EXP(-$K$9*($A77-$D$9-$I$9))))</f>
        <v>569.9883725202504</v>
      </c>
      <c r="Y77" s="77">
        <f>(X77*$B$9+IF($A77&gt;=Premissas!$B$46+$D$9,$F$9,0))*(1-$E$9)*(1-Premissas!$B$60)</f>
        <v>144341.2187068439</v>
      </c>
      <c r="Z77" s="77">
        <f>-(X77*$J$9+MAX(0,X77-X76)*$H$9+IF($A77-$D$9&lt;=2,Premissas!$B$49,IF($A77-$D$9&lt;=5,Premissas!$B$50,IF($A77-$D$9&lt;=8,Premissas!$B$51,$G$9)))+IF($A77=1+$D$9,Premissas!$B$55,IF($A77=3+$D$9,Premissas!$B$56,IF($A77=6+$D$9,Premissas!$B$57,0))))</f>
        <v>-59162.821014593355</v>
      </c>
      <c r="AA77" s="77">
        <f>Y77+Z77</f>
        <v>85178.39769225055</v>
      </c>
      <c r="AB77" s="77">
        <f>AB76+AA77</f>
        <v>1503998.9977853952</v>
      </c>
      <c r="AC77" s="78">
        <f>IF(AA77&gt;0,$A77,9999)</f>
        <v>36.0</v>
      </c>
      <c r="AD77" s="78">
        <f>IF(AB77&gt;0,$A77,9999)</f>
        <v>36.0</v>
      </c>
      <c r="AE77" s="76">
        <f>IF($A77-$D$10&lt;Premissas!$B$41,0,$C$10*(Premissas!$B$39+(Premissas!$B$40-Premissas!$B$39)*$A77/36)/(1+EXP(-$K$10*($A77-$D$10-$I$10))))</f>
        <v>569.9883725202504</v>
      </c>
      <c r="AF77" s="77">
        <f>(AE77*$B$10+IF($A77&gt;=Premissas!$B$46+$D$10,$F$10,0))*(1-$E$10)*(1-Premissas!$B$60)</f>
        <v>126298.5663684884</v>
      </c>
      <c r="AG77" s="77">
        <f>-(AE77*$J$10+MAX(0,AE77-AE76)*$H$10+IF($A77-$D$10&lt;=2,Premissas!$B$49,IF($A77-$D$10&lt;=5,Premissas!$B$50,IF($A77-$D$10&lt;=8,Premissas!$B$51,$G$10)))+IF($A77=1+$D$10,Premissas!$B$55,IF($A77=3+$D$10,Premissas!$B$56,IF($A77=6+$D$10,Premissas!$B$57,0))))</f>
        <v>-59162.821014593355</v>
      </c>
      <c r="AH77" s="77">
        <f>AF77+AG77</f>
        <v>67135.74535389505</v>
      </c>
      <c r="AI77" s="77">
        <f>AI76+AH77</f>
        <v>1100202.3311996898</v>
      </c>
      <c r="AJ77" s="78">
        <f>IF(AH77&gt;0,$A77,9999)</f>
        <v>36.0</v>
      </c>
      <c r="AK77" s="78">
        <f>IF(AI77&gt;0,$A77,9999)</f>
        <v>36.0</v>
      </c>
      <c r="AL77" s="76">
        <f>IF($A77-$D$11&lt;Premissas!$B$41,0,$C$11*(Premissas!$B$39+(Premissas!$B$40-Premissas!$B$39)*$A77/36)/(1+EXP(-$K$11*($A77-$D$11-$I$11))))</f>
        <v>569.9883725202504</v>
      </c>
      <c r="AM77" s="77">
        <f>(AL77*$B$11+IF($A77&gt;=Premissas!$B$46+$D$11,$F$11,0))*(1-$E$11)*(1-Premissas!$B$60)</f>
        <v>108255.91403013293</v>
      </c>
      <c r="AN77" s="77">
        <f>-(AL77*$J$11+MAX(0,AL77-AL76)*$H$11+IF($A77-$D$11&lt;=2,Premissas!$B$49,IF($A77-$D$11&lt;=5,Premissas!$B$50,IF($A77-$D$11&lt;=8,Premissas!$B$51,$G$11)))+IF($A77=1+$D$11,Premissas!$B$55,IF($A77=3+$D$11,Premissas!$B$56,IF($A77=6+$D$11,Premissas!$B$57,0))))</f>
        <v>-59162.821014593355</v>
      </c>
      <c r="AO77" s="77">
        <f>AM77+AN77</f>
        <v>49093.093015539576</v>
      </c>
      <c r="AP77" s="77">
        <f>AP76+AO77</f>
        <v>696405.6646139844</v>
      </c>
      <c r="AQ77" s="78">
        <f>IF(AO77&gt;0,$A77,9999)</f>
        <v>36.0</v>
      </c>
      <c r="AR77" s="78">
        <f>IF(AP77&gt;0,$A77,9999)</f>
        <v>36.0</v>
      </c>
      <c r="AS77" s="76">
        <f>IF($A77-$D$12&lt;Premissas!$B$41,0,$C$12*(Premissas!$B$39+(Premissas!$B$40-Premissas!$B$39)*$A77/36)/(1+EXP(-$K$12*($A77-$D$12-$I$12))))</f>
        <v>569.9883725202504</v>
      </c>
      <c r="AT77" s="77">
        <f>(AS77*$B$12+IF($A77&gt;=Premissas!$B$46+$D$12,$F$12,0))*(1-$E$12)*(1-Premissas!$B$60)</f>
        <v>113945.32856815678</v>
      </c>
      <c r="AU77" s="77">
        <f>-(AS77*$J$12+MAX(0,AS77-AS76)*$H$12+IF($A77-$D$12&lt;=2,Premissas!$B$49,IF($A77-$D$12&lt;=5,Premissas!$B$50,IF($A77-$D$12&lt;=8,Premissas!$B$51,$G$12)))+IF($A77=1+$D$12,Premissas!$B$55,IF($A77=3+$D$12,Premissas!$B$56,IF($A77=6+$D$12,Premissas!$B$57,0))))</f>
        <v>-59162.821014593355</v>
      </c>
      <c r="AV77" s="77">
        <f>AT77+AU77</f>
        <v>54782.507553563424</v>
      </c>
      <c r="AW77" s="77">
        <f>AW76+AV77</f>
        <v>830783.7749619761</v>
      </c>
      <c r="AX77" s="78">
        <f>IF(AV77&gt;0,$A77,9999)</f>
        <v>36.0</v>
      </c>
      <c r="AY77" s="78">
        <f>IF(AW77&gt;0,$A77,9999)</f>
        <v>36.0</v>
      </c>
      <c r="AZ77" s="76">
        <f>IF($A77-$D$13&lt;Premissas!$B$41,0,$C$13*(Premissas!$B$39+(Premissas!$B$40-Premissas!$B$39)*$A77/36)/(1+EXP(-$K$13*($A77-$D$13-$I$13))))</f>
        <v>569.8270351928836</v>
      </c>
      <c r="BA77" s="77">
        <f>(AZ77*$B$13+IF($A77&gt;=Premissas!$B$46+$D$13,$F$13,0))*(1-$E$13)*(1-Premissas!$B$60)</f>
        <v>135283.71264200413</v>
      </c>
      <c r="BB77" s="77">
        <f>-(AZ77*$J$13+MAX(0,AZ77-AZ76)*$H$13+IF($A77-$D$13&lt;=2,Premissas!$B$49,IF($A77-$D$13&lt;=5,Premissas!$B$50,IF($A77-$D$13&lt;=8,Premissas!$B$51,$G$13)))+IF($A77=1+$D$13,Premissas!$B$55,IF($A77=3+$D$13,Premissas!$B$56,IF($A77=6+$D$13,Premissas!$B$57,0))))</f>
        <v>-59160.52805027287</v>
      </c>
      <c r="BC77" s="77">
        <f>BA77+BB77</f>
        <v>76123.18459173126</v>
      </c>
      <c r="BD77" s="77">
        <f>BD76+BC77</f>
        <v>915408.224887181</v>
      </c>
      <c r="BE77" s="78">
        <f>IF(BC77&gt;0,$A77,9999)</f>
        <v>36.0</v>
      </c>
      <c r="BF77" s="78">
        <f>IF(BD77&gt;0,$A77,9999)</f>
        <v>36.0</v>
      </c>
      <c r="BG77" s="76">
        <f>IF($A77-$D$14&lt;Premissas!$B$41,0,$C$14*(Premissas!$B$39+(Premissas!$B$40-Premissas!$B$39)*$A77/36)/(1+EXP(-$K$14*($A77-$D$14-$I$14))))</f>
        <v>569.9883725202504</v>
      </c>
      <c r="BH77" s="77">
        <f>(BG77*$B$14+IF($A77&gt;=Premissas!$B$46+$D$14,$F$14,0))*(1-$E$14)*(1-Premissas!$B$60)</f>
        <v>135319.89253766616</v>
      </c>
      <c r="BI77" s="77">
        <f>-(BG77*$J$14+MAX(0,BG77-BG76)*$H$14+IF($A77-$D$14&lt;=2,Premissas!$B$49,IF($A77-$D$14&lt;=5,Premissas!$B$50,IF($A77-$D$14&lt;=8,Premissas!$B$51,$G$14)))+IF($A77=1+$D$14,Premissas!$B$55,IF($A77=3+$D$14,Premissas!$B$56,IF($A77=6+$D$14,Premissas!$B$57,0))))</f>
        <v>-49162.821014593355</v>
      </c>
      <c r="BJ77" s="77">
        <f>BH77+BI77</f>
        <v>86157.07152307281</v>
      </c>
      <c r="BK77" s="77">
        <f>BK76+BJ77</f>
        <v>1582100.664492543</v>
      </c>
      <c r="BL77" s="78">
        <f>IF(BJ77&gt;0,$A77,9999)</f>
        <v>36.0</v>
      </c>
      <c r="BM77" s="78">
        <f>IF(BK77&gt;0,$A77,9999)</f>
        <v>36.0</v>
      </c>
      <c r="BN77" s="76">
        <f>IF($A77-$D$15&lt;Premissas!$B$41,0,$C$15*(Premissas!$B$39+(Premissas!$B$40-Premissas!$B$39)*$A77/36)/(1+EXP(-$K$15*($A77-$D$15-$I$15))))</f>
        <v>194.67653378936598</v>
      </c>
      <c r="BO77" s="77">
        <f>(BN77*$B$15+IF($A77&gt;=Premissas!$B$46+$D$15,$F$15,0))*(1-$E$15)*(1-Premissas!$B$60)</f>
        <v>72101.81427880775</v>
      </c>
      <c r="BP77" s="77">
        <f>-(BN77*$J$15+MAX(0,BN77-BN76)*$H$15+IF($A77-$D$15&lt;=2,Premissas!$B$49,IF($A77-$D$15&lt;=5,Premissas!$B$50,IF($A77-$D$15&lt;=8,Premissas!$B$51,$G$15)))+IF($A77=1+$D$15,Premissas!$B$55,IF($A77=3+$D$15,Premissas!$B$56,IF($A77=6+$D$15,Premissas!$B$57,0))))</f>
        <v>-44418.01240122467</v>
      </c>
      <c r="BQ77" s="77">
        <f>BO77+BP77</f>
        <v>27683.801877583086</v>
      </c>
      <c r="BR77" s="77">
        <f>BR76+BQ77</f>
        <v>31614.3606622785</v>
      </c>
      <c r="BS77" s="78">
        <f>IF(BQ77&gt;0,$A77,9999)</f>
        <v>36.0</v>
      </c>
      <c r="BT77" s="78">
        <f>IF(BR77&gt;0,$A77,9999)</f>
        <v>36.0</v>
      </c>
      <c r="BU77" s="76">
        <f>IF($A77-$D$16&lt;Premissas!$B$41,0,$C$16*(Premissas!$B$39+(Premissas!$B$40-Premissas!$B$39)*$A77/36)/(1+EXP(-$K$16*($A77-$D$16-$I$16))))</f>
        <v>389.35306757873195</v>
      </c>
      <c r="BV77" s="77">
        <f>(BU77*$B$16+IF($A77&gt;=Premissas!$B$46+$D$16,$F$16,0))*(1-$E$16)*(1-Premissas!$B$60)</f>
        <v>87232.35856245008</v>
      </c>
      <c r="BW77" s="77">
        <f>-(BU77*$J$16+MAX(0,BU77-BU76)*$H$16+IF($A77-$D$16&lt;=2,Premissas!$B$49,IF($A77-$D$16&lt;=5,Premissas!$B$50,IF($A77-$D$16&lt;=8,Premissas!$B$51,$G$16)))+IF($A77=1+$D$16,Premissas!$B$55,IF($A77=3+$D$16,Premissas!$B$56,IF($A77=6+$D$16,Premissas!$B$57,0))))</f>
        <v>-53836.024802449334</v>
      </c>
      <c r="BX77" s="77">
        <f>BV77+BW77</f>
        <v>33396.33376000075</v>
      </c>
      <c r="BY77" s="77">
        <f>BY76+BX77</f>
        <v>40684.94492326881</v>
      </c>
      <c r="BZ77" s="78">
        <f>IF(BX77&gt;0,$A77,9999)</f>
        <v>36.0</v>
      </c>
      <c r="CA77" s="78">
        <f>IF(BY77&gt;0,$A77,9999)</f>
        <v>36.0</v>
      </c>
      <c r="CB77" s="76">
        <f>IF($A77-$D$17&lt;Premissas!$B$41,0,$C$17*(Premissas!$B$39+(Premissas!$B$40-Premissas!$B$39)*$A77/36)/(1+EXP(-$K$17*($A77-$D$17-$I$17))))</f>
        <v>192.81475076724064</v>
      </c>
      <c r="CC77" s="77">
        <f>(CB77*$B$17+IF($A77&gt;=Premissas!$B$46+$D$17,$F$17,0))*(1-$E$17)*(1-Premissas!$B$60)</f>
        <v>46480.13857158735</v>
      </c>
      <c r="CD77" s="77">
        <f>-(CB77*$J$17+MAX(0,CB77-CB76)*$H$17+IF($A77-$D$17&lt;=2,Premissas!$B$49,IF($A77-$D$17&lt;=5,Premissas!$B$50,IF($A77-$D$17&lt;=8,Premissas!$B$51,$G$17)))+IF($A77=1+$D$17,Premissas!$B$55,IF($A77=3+$D$17,Premissas!$B$56,IF($A77=6+$D$17,Premissas!$B$57,0))))</f>
        <v>-44602.144334089426</v>
      </c>
      <c r="CE77" s="77">
        <f>CC77+CD77</f>
        <v>1877.9942374979219</v>
      </c>
      <c r="CF77" s="77">
        <f>CF76+CE77</f>
        <v>-495982.79664318205</v>
      </c>
      <c r="CG77" s="78">
        <f>IF(CE77&gt;0,$A77,9999)</f>
        <v>36.0</v>
      </c>
      <c r="CH77" s="78">
        <f>IF(CF77&gt;0,$A77,9999)</f>
        <v>9999.0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3" customWidth="1" min="3" max="3"/>
    <col width="8" customWidth="1" min="4" max="4"/>
    <col width="62" customWidth="1" min="5" max="5"/>
    <col width="58" customWidth="1" min="6" max="6"/>
    <col width="24" customWidth="1" min="7" max="7"/>
    <col width="14" customWidth="1" min="8" max="8"/>
    <col width="44" customWidth="1" min="9" max="9"/>
    <col width="12" customWidth="1" min="10" max="10"/>
  </cols>
  <sheetData>
    <row r="1">
      <c r="A1" s="1" t="inlineStr">
        <is>
          <t>Plano de descoberta — 34 itens</t>
        </is>
      </c>
    </row>
    <row r="2">
      <c r="A2" s="2" t="inlineStr">
        <is>
          <t>Marque o status e anote a resposta. Os seis bloqueantes vêm primeiro.</t>
        </is>
      </c>
    </row>
    <row r="4" ht="28" customHeight="1">
      <c r="A4" s="11" t="inlineStr">
        <is>
          <t>Código</t>
        </is>
      </c>
      <c r="B4" s="11" t="inlineStr">
        <is>
          <t>Categoria</t>
        </is>
      </c>
      <c r="C4" s="11" t="inlineStr">
        <is>
          <t>Prioridade</t>
        </is>
      </c>
      <c r="D4" s="11" t="inlineStr">
        <is>
          <t>Onda</t>
        </is>
      </c>
      <c r="E4" s="11" t="inlineStr">
        <is>
          <t>Pergunta</t>
        </is>
      </c>
      <c r="F4" s="11" t="inlineStr">
        <is>
          <t>O que muda</t>
        </is>
      </c>
      <c r="G4" s="11" t="inlineStr">
        <is>
          <t>Quem responde</t>
        </is>
      </c>
      <c r="H4" s="11" t="inlineStr">
        <is>
          <t>Status</t>
        </is>
      </c>
      <c r="I4" s="11" t="inlineStr">
        <is>
          <t>Resposta / anotação</t>
        </is>
      </c>
      <c r="J4" s="11" t="inlineStr">
        <is>
          <t>Data</t>
        </is>
      </c>
    </row>
    <row r="5" ht="30" customHeight="1">
      <c r="A5" s="79" t="inlineStr">
        <is>
          <t>J1</t>
        </is>
      </c>
      <c r="B5" s="80" t="inlineStr">
        <is>
          <t>Jurídico</t>
        </is>
      </c>
      <c r="C5" s="81" t="inlineStr">
        <is>
          <t>Bloqueante</t>
        </is>
      </c>
      <c r="D5" s="80" t="n">
        <v>1</v>
      </c>
      <c r="E5" s="80" t="inlineStr">
        <is>
          <t>A cláusula 13.13 alcança um software que eu escrevi? Cessão universal e gratuita é exigível ou abusiva num contrato de adesão?</t>
        </is>
      </c>
      <c r="F5" s="80" t="inlineStr">
        <is>
          <t>Tudo. Se alcança, o único caminho é negociar.</t>
        </is>
      </c>
      <c r="G5" s="80" t="inlineStr">
        <is>
          <t>Advogado de franquias</t>
        </is>
      </c>
      <c r="H5" s="82" t="inlineStr">
        <is>
          <t>Não iniciado</t>
        </is>
      </c>
      <c r="I5" s="82" t="inlineStr"/>
      <c r="J5" s="83" t="inlineStr"/>
    </row>
    <row r="6" ht="30" customHeight="1">
      <c r="A6" s="79" t="inlineStr">
        <is>
          <t>J2</t>
        </is>
      </c>
      <c r="B6" s="80" t="inlineStr">
        <is>
          <t>Jurídico</t>
        </is>
      </c>
      <c r="C6" s="81" t="inlineStr">
        <is>
          <t>Bloqueante</t>
        </is>
      </c>
      <c r="D6" s="80" t="n">
        <v>1</v>
      </c>
      <c r="E6" s="80" t="inlineStr">
        <is>
          <t>A Lei de Software (9.609/98) muda algo, sendo o autor pessoa física fora de vínculo empregatício?</t>
        </is>
      </c>
      <c r="F6" s="80" t="inlineStr">
        <is>
          <t>Define a força do argumento de titularidade.</t>
        </is>
      </c>
      <c r="G6" s="80" t="inlineStr">
        <is>
          <t>Advogado de franquias</t>
        </is>
      </c>
      <c r="H6" s="82" t="inlineStr">
        <is>
          <t>Não iniciado</t>
        </is>
      </c>
      <c r="I6" s="82" t="inlineStr"/>
      <c r="J6" s="83" t="inlineStr"/>
    </row>
    <row r="7" ht="30" customHeight="1">
      <c r="A7" s="79" t="inlineStr">
        <is>
          <t>J3</t>
        </is>
      </c>
      <c r="B7" s="80" t="inlineStr">
        <is>
          <t>Jurídico</t>
        </is>
      </c>
      <c r="C7" s="81" t="inlineStr">
        <is>
          <t>Bloqueante</t>
        </is>
      </c>
      <c r="D7" s="80" t="n">
        <v>1</v>
      </c>
      <c r="E7" s="80" t="inlineStr">
        <is>
          <t>Qual o risco das três exposições atuais — painel público, sync do HubSpot, campanhas — e em que ordem corrigir?</t>
        </is>
      </c>
      <c r="F7" s="80" t="inlineStr">
        <is>
          <t>Define o que fazer nesta semana.</t>
        </is>
      </c>
      <c r="G7" s="80" t="inlineStr">
        <is>
          <t>Advogado de franquias</t>
        </is>
      </c>
      <c r="H7" s="82" t="inlineStr">
        <is>
          <t>Não iniciado</t>
        </is>
      </c>
      <c r="I7" s="82" t="inlineStr"/>
      <c r="J7" s="83" t="inlineStr"/>
    </row>
    <row r="8" ht="30" customHeight="1">
      <c r="A8" s="79" t="inlineStr">
        <is>
          <t>T1</t>
        </is>
      </c>
      <c r="B8" s="80" t="inlineStr">
        <is>
          <t>Trinks</t>
        </is>
      </c>
      <c r="C8" s="81" t="inlineStr">
        <is>
          <t>Bloqueante</t>
        </is>
      </c>
      <c r="D8" s="80" t="n">
        <v>1</v>
      </c>
      <c r="E8" s="80" t="inlineStr">
        <is>
          <t>Existe autorização para uso comercial da API? Qual o processo para o contrato específico que os Termos exigem?</t>
        </is>
      </c>
      <c r="F8" s="80" t="inlineStr">
        <is>
          <t>Se não existe caminho, não há produto sobre a API.</t>
        </is>
      </c>
      <c r="G8" s="80" t="inlineStr">
        <is>
          <t>Comercial Trinks</t>
        </is>
      </c>
      <c r="H8" s="82" t="inlineStr">
        <is>
          <t>Não iniciado</t>
        </is>
      </c>
      <c r="I8" s="82" t="inlineStr"/>
      <c r="J8" s="83" t="inlineStr"/>
    </row>
    <row r="9" ht="30" customHeight="1">
      <c r="A9" s="79" t="inlineStr">
        <is>
          <t>T2</t>
        </is>
      </c>
      <c r="B9" s="80" t="inlineStr">
        <is>
          <t>Trinks</t>
        </is>
      </c>
      <c r="C9" s="81" t="inlineStr">
        <is>
          <t>Bloqueante</t>
        </is>
      </c>
      <c r="D9" s="80" t="n">
        <v>1</v>
      </c>
      <c r="E9" s="80" t="inlineStr">
        <is>
          <t>A cota de 10.000 requisições/mês é por estabelecimento ou por conta?</t>
        </is>
      </c>
      <c r="F9" s="80" t="inlineStr">
        <is>
          <t>Se for por conta, o custo unitário muda e o modelo é refeito.</t>
        </is>
      </c>
      <c r="G9" s="80" t="inlineStr">
        <is>
          <t>Suporte técnico Trinks</t>
        </is>
      </c>
      <c r="H9" s="82" t="inlineStr">
        <is>
          <t>Não iniciado</t>
        </is>
      </c>
      <c r="I9" s="82" t="inlineStr"/>
      <c r="J9" s="83" t="inlineStr"/>
    </row>
    <row r="10" ht="30" customHeight="1">
      <c r="A10" s="79" t="inlineStr">
        <is>
          <t>T3</t>
        </is>
      </c>
      <c r="B10" s="80" t="inlineStr">
        <is>
          <t>Trinks</t>
        </is>
      </c>
      <c r="C10" s="81" t="inlineStr">
        <is>
          <t>Bloqueante</t>
        </is>
      </c>
      <c r="D10" s="80" t="n">
        <v>1</v>
      </c>
      <c r="E10" s="80" t="inlineStr">
        <is>
          <t>Existe programa formal de parceiro ou integrador? Contrato-tipo, requisitos, prazo?</t>
        </is>
      </c>
      <c r="F10" s="80" t="inlineStr">
        <is>
          <t>Define o prazo da Onda 1 e se há atalho.</t>
        </is>
      </c>
      <c r="G10" s="80" t="inlineStr">
        <is>
          <t>Parcerias Trinks</t>
        </is>
      </c>
      <c r="H10" s="82" t="inlineStr">
        <is>
          <t>Não iniciado</t>
        </is>
      </c>
      <c r="I10" s="82" t="inlineStr"/>
      <c r="J10" s="83" t="inlineStr"/>
    </row>
    <row r="11" ht="30" customHeight="1">
      <c r="A11" s="79" t="inlineStr">
        <is>
          <t>J4</t>
        </is>
      </c>
      <c r="B11" s="80" t="inlineStr">
        <is>
          <t>Jurídico</t>
        </is>
      </c>
      <c r="C11" s="84" t="inlineStr">
        <is>
          <t>Estrutural</t>
        </is>
      </c>
      <c r="D11" s="80" t="n">
        <v>2</v>
      </c>
      <c r="E11" s="80" t="inlineStr">
        <is>
          <t>Como demonstrar o produto sem entregar o ativo? Existe NDA ou memorando que preserve minha posição?</t>
        </is>
      </c>
      <c r="F11" s="80" t="inlineStr">
        <is>
          <t>Define se a reunião da semana 4 pode acontecer.</t>
        </is>
      </c>
      <c r="G11" s="80" t="inlineStr">
        <is>
          <t>Advogado de franquias</t>
        </is>
      </c>
      <c r="H11" s="82" t="inlineStr">
        <is>
          <t>Não iniciado</t>
        </is>
      </c>
      <c r="I11" s="82" t="inlineStr"/>
      <c r="J11" s="83" t="inlineStr"/>
    </row>
    <row r="12" ht="30" customHeight="1">
      <c r="A12" s="79" t="inlineStr">
        <is>
          <t>J5</t>
        </is>
      </c>
      <c r="B12" s="80" t="inlineStr">
        <is>
          <t>Jurídico</t>
        </is>
      </c>
      <c r="C12" s="84" t="inlineStr">
        <is>
          <t>Estrutural</t>
        </is>
      </c>
      <c r="D12" s="80" t="n">
        <v>2</v>
      </c>
      <c r="E12" s="80" t="inlineStr">
        <is>
          <t>Qual estrutura usar: PJ separada, sociedade com a franqueadora, ou licenciamento?</t>
        </is>
      </c>
      <c r="F12" s="80" t="inlineStr">
        <is>
          <t>Define qual das três estruturas é viável.</t>
        </is>
      </c>
      <c r="G12" s="80" t="inlineStr">
        <is>
          <t>Advogado de franquias</t>
        </is>
      </c>
      <c r="H12" s="82" t="inlineStr">
        <is>
          <t>Não iniciado</t>
        </is>
      </c>
      <c r="I12" s="82" t="inlineStr"/>
      <c r="J12" s="83" t="inlineStr"/>
    </row>
    <row r="13" ht="30" customHeight="1">
      <c r="A13" s="79" t="inlineStr">
        <is>
          <t>J6</t>
        </is>
      </c>
      <c r="B13" s="80" t="inlineStr">
        <is>
          <t>Jurídico</t>
        </is>
      </c>
      <c r="C13" s="84" t="inlineStr">
        <is>
          <t>Estrutural</t>
        </is>
      </c>
      <c r="D13" s="80" t="n">
        <v>2</v>
      </c>
      <c r="E13" s="80" t="inlineStr">
        <is>
          <t>Sendo franqueado e fornecedor homologado ao mesmo tempo, há conflito a tratar no contrato?</t>
        </is>
      </c>
      <c r="F13" s="80" t="inlineStr">
        <is>
          <t>Define cláusulas do contrato de homologação.</t>
        </is>
      </c>
      <c r="G13" s="80" t="inlineStr">
        <is>
          <t>Advogado de franquias</t>
        </is>
      </c>
      <c r="H13" s="82" t="inlineStr">
        <is>
          <t>Não iniciado</t>
        </is>
      </c>
      <c r="I13" s="82" t="inlineStr"/>
      <c r="J13" s="83" t="inlineStr"/>
    </row>
    <row r="14" ht="30" customHeight="1">
      <c r="A14" s="79" t="inlineStr">
        <is>
          <t>J7</t>
        </is>
      </c>
      <c r="B14" s="80" t="inlineStr">
        <is>
          <t>Jurídico</t>
        </is>
      </c>
      <c r="C14" s="84" t="inlineStr">
        <is>
          <t>Estrutural</t>
        </is>
      </c>
      <c r="D14" s="80" t="n">
        <v>2</v>
      </c>
      <c r="E14" s="80" t="inlineStr">
        <is>
          <t>Um produto genérico feito do zero, fora do horário e sem material dos MANUAIS, escapa da 13.13? Que provas de segregação preciso desde já?</t>
        </is>
      </c>
      <c r="F14" s="80" t="inlineStr">
        <is>
          <t>Define se o plano B existe — e as provas começam antes.</t>
        </is>
      </c>
      <c r="G14" s="80" t="inlineStr">
        <is>
          <t>Advogado de franquias</t>
        </is>
      </c>
      <c r="H14" s="82" t="inlineStr">
        <is>
          <t>Não iniciado</t>
        </is>
      </c>
      <c r="I14" s="82" t="inlineStr"/>
      <c r="J14" s="83" t="inlineStr"/>
    </row>
    <row r="15" ht="30" customHeight="1">
      <c r="A15" s="79" t="inlineStr">
        <is>
          <t>T4</t>
        </is>
      </c>
      <c r="B15" s="80" t="inlineStr">
        <is>
          <t>Trinks</t>
        </is>
      </c>
      <c r="C15" s="84" t="inlineStr">
        <is>
          <t>Estrutural</t>
        </is>
      </c>
      <c r="D15" s="80" t="n">
        <v>2</v>
      </c>
      <c r="E15" s="80" t="inlineStr">
        <is>
          <t>A parceria envolve taxa, participação na receita, ou é gratuita?</t>
        </is>
      </c>
      <c r="F15" s="80" t="inlineStr">
        <is>
          <t>Entra direto no custo variável por loja.</t>
        </is>
      </c>
      <c r="G15" s="80" t="inlineStr">
        <is>
          <t>Comercial Trinks</t>
        </is>
      </c>
      <c r="H15" s="82" t="inlineStr">
        <is>
          <t>Não iniciado</t>
        </is>
      </c>
      <c r="I15" s="82" t="inlineStr"/>
      <c r="J15" s="83" t="inlineStr"/>
    </row>
    <row r="16" ht="30" customHeight="1">
      <c r="A16" s="79" t="inlineStr">
        <is>
          <t>T5</t>
        </is>
      </c>
      <c r="B16" s="80" t="inlineStr">
        <is>
          <t>Trinks</t>
        </is>
      </c>
      <c r="C16" s="84" t="inlineStr">
        <is>
          <t>Estrutural</t>
        </is>
      </c>
      <c r="D16" s="80" t="n">
        <v>2</v>
      </c>
      <c r="E16" s="80" t="inlineStr">
        <is>
          <t>A API tem endpoints incrementais (updated_since, delta, webhooks) ou só paginação completa?</t>
        </is>
      </c>
      <c r="F16" s="80" t="inlineStr">
        <is>
          <t>Define o custo da Fase 3 e a economia de 70% de requisições.</t>
        </is>
      </c>
      <c r="G16" s="80" t="inlineStr">
        <is>
          <t>Documentação e suporte Trinks</t>
        </is>
      </c>
      <c r="H16" s="82" t="inlineStr">
        <is>
          <t>Não iniciado</t>
        </is>
      </c>
      <c r="I16" s="82" t="inlineStr"/>
      <c r="J16" s="83" t="inlineStr"/>
    </row>
    <row r="17" ht="30" customHeight="1">
      <c r="A17" s="79" t="inlineStr">
        <is>
          <t>T7</t>
        </is>
      </c>
      <c r="B17" s="80" t="inlineStr">
        <is>
          <t>Trinks</t>
        </is>
      </c>
      <c r="C17" s="84" t="inlineStr">
        <is>
          <t>Estrutural</t>
        </is>
      </c>
      <c r="D17" s="80" t="n">
        <v>2</v>
      </c>
      <c r="E17" s="80" t="inlineStr">
        <is>
          <t>A Trinks tem, ou planeja, produto próprio de BI ou gestão financeira?</t>
        </is>
      </c>
      <c r="F17" s="80" t="inlineStr">
        <is>
          <t>Se sim, o jogo é parceria e o timing fica urgente.</t>
        </is>
      </c>
      <c r="G17" s="80" t="inlineStr">
        <is>
          <t>Comercial Trinks</t>
        </is>
      </c>
      <c r="H17" s="82" t="inlineStr">
        <is>
          <t>Não iniciado</t>
        </is>
      </c>
      <c r="I17" s="82" t="inlineStr"/>
      <c r="J17" s="83" t="inlineStr"/>
    </row>
    <row r="18" ht="30" customHeight="1">
      <c r="A18" s="79" t="inlineStr">
        <is>
          <t>F1</t>
        </is>
      </c>
      <c r="B18" s="80" t="inlineStr">
        <is>
          <t>Franqueadora</t>
        </is>
      </c>
      <c r="C18" s="84" t="inlineStr">
        <is>
          <t>Estrutural</t>
        </is>
      </c>
      <c r="D18" s="80" t="n">
        <v>2</v>
      </c>
      <c r="E18" s="80" t="inlineStr">
        <is>
          <t>Existe projeto interno de BI, dados ou painel da rede em andamento?</t>
        </is>
      </c>
      <c r="F18" s="80" t="inlineStr">
        <is>
          <t>Se existe, o jogo é parceria ou venda — não licenciamento.</t>
        </is>
      </c>
      <c r="G18" s="80" t="inlineStr">
        <is>
          <t>Diretoria FE Franchising</t>
        </is>
      </c>
      <c r="H18" s="82" t="inlineStr">
        <is>
          <t>Não iniciado</t>
        </is>
      </c>
      <c r="I18" s="82" t="inlineStr"/>
      <c r="J18" s="83" t="inlineStr"/>
    </row>
    <row r="19" ht="30" customHeight="1">
      <c r="A19" s="79" t="inlineStr">
        <is>
          <t>F2</t>
        </is>
      </c>
      <c r="B19" s="80" t="inlineStr">
        <is>
          <t>Franqueadora</t>
        </is>
      </c>
      <c r="C19" s="84" t="inlineStr">
        <is>
          <t>Estrutural</t>
        </is>
      </c>
      <c r="D19" s="80" t="n">
        <v>2</v>
      </c>
      <c r="E19" s="80" t="inlineStr">
        <is>
          <t>Quem decide a homologação de um fornecedor? Processo e prazo típico?</t>
        </is>
      </c>
      <c r="F19" s="80" t="inlineStr">
        <is>
          <t>Define o cronograma real da etapa de homologação.</t>
        </is>
      </c>
      <c r="G19" s="80" t="inlineStr">
        <is>
          <t>Operações FE Franchising</t>
        </is>
      </c>
      <c r="H19" s="82" t="inlineStr">
        <is>
          <t>Não iniciado</t>
        </is>
      </c>
      <c r="I19" s="82" t="inlineStr"/>
      <c r="J19" s="83" t="inlineStr"/>
    </row>
    <row r="20" ht="30" customHeight="1">
      <c r="A20" s="79" t="inlineStr">
        <is>
          <t>F3</t>
        </is>
      </c>
      <c r="B20" s="80" t="inlineStr">
        <is>
          <t>Franqueadora</t>
        </is>
      </c>
      <c r="C20" s="84" t="inlineStr">
        <is>
          <t>Estrutural</t>
        </is>
      </c>
      <c r="D20" s="80" t="n">
        <v>2</v>
      </c>
      <c r="E20" s="80" t="inlineStr">
        <is>
          <t>Quais os critérios de homologação — certificações, seguro, capital, contrato-tipo?</t>
        </is>
      </c>
      <c r="F20" s="80" t="inlineStr">
        <is>
          <t>Pode exigir estrutura societária e capital antes do previsto.</t>
        </is>
      </c>
      <c r="G20" s="80" t="inlineStr">
        <is>
          <t>Operações FE Franchising</t>
        </is>
      </c>
      <c r="H20" s="82" t="inlineStr">
        <is>
          <t>Não iniciado</t>
        </is>
      </c>
      <c r="I20" s="82" t="inlineStr"/>
      <c r="J20" s="83" t="inlineStr"/>
    </row>
    <row r="21" ht="30" customHeight="1">
      <c r="A21" s="79" t="inlineStr">
        <is>
          <t>F4</t>
        </is>
      </c>
      <c r="B21" s="80" t="inlineStr">
        <is>
          <t>Franqueadora</t>
        </is>
      </c>
      <c r="C21" s="84" t="inlineStr">
        <is>
          <t>Estrutural</t>
        </is>
      </c>
      <c r="D21" s="80" t="n">
        <v>2</v>
      </c>
      <c r="E21" s="80" t="inlineStr">
        <is>
          <t>Existe contrato-tipo de Fornecedor Homologado? Exclusividade, participação, prazo, rescisão?</t>
        </is>
      </c>
      <c r="F21" s="80" t="inlineStr">
        <is>
          <t>Entra direto no modelo — ver cenários de participação.</t>
        </is>
      </c>
      <c r="G21" s="80" t="inlineStr">
        <is>
          <t>Jurídico FE Franchising</t>
        </is>
      </c>
      <c r="H21" s="82" t="inlineStr">
        <is>
          <t>Não iniciado</t>
        </is>
      </c>
      <c r="I21" s="82" t="inlineStr"/>
      <c r="J21" s="83" t="inlineStr"/>
    </row>
    <row r="22" ht="30" customHeight="1">
      <c r="A22" s="79" t="inlineStr">
        <is>
          <t>F5</t>
        </is>
      </c>
      <c r="B22" s="80" t="inlineStr">
        <is>
          <t>Franqueadora</t>
        </is>
      </c>
      <c r="C22" s="84" t="inlineStr">
        <is>
          <t>Estrutural</t>
        </is>
      </c>
      <c r="D22" s="80" t="n">
        <v>2</v>
      </c>
      <c r="E22" s="80" t="inlineStr">
        <is>
          <t>Qual o escopo do Sults hoje? Ele já faz, ou vai fazer, parte do que o FAST Insights faz?</t>
        </is>
      </c>
      <c r="F22" s="80" t="inlineStr">
        <is>
          <t>Se houver sobreposição, integrar em vez de competir.</t>
        </is>
      </c>
      <c r="G22" s="80" t="inlineStr">
        <is>
          <t>Operações FE Franchising</t>
        </is>
      </c>
      <c r="H22" s="82" t="inlineStr">
        <is>
          <t>Não iniciado</t>
        </is>
      </c>
      <c r="I22" s="82" t="inlineStr"/>
      <c r="J22" s="83" t="inlineStr"/>
    </row>
    <row r="23" ht="30" customHeight="1">
      <c r="A23" s="79" t="inlineStr">
        <is>
          <t>F8</t>
        </is>
      </c>
      <c r="B23" s="80" t="inlineStr">
        <is>
          <t>Franqueadora</t>
        </is>
      </c>
      <c r="C23" s="84" t="inlineStr">
        <is>
          <t>Estrutural</t>
        </is>
      </c>
      <c r="D23" s="80" t="n">
        <v>2</v>
      </c>
      <c r="E23" s="80" t="inlineStr">
        <is>
          <t>Qual o apetite: comprar o ativo, licenciar, entrar como sócia, ou construir?</t>
        </is>
      </c>
      <c r="F23" s="80" t="inlineStr">
        <is>
          <t>Define qual das três estruturas propor primeiro.</t>
        </is>
      </c>
      <c r="G23" s="80" t="inlineStr">
        <is>
          <t>Diretoria FE Franchising</t>
        </is>
      </c>
      <c r="H23" s="82" t="inlineStr">
        <is>
          <t>Não iniciado</t>
        </is>
      </c>
      <c r="I23" s="82" t="inlineStr"/>
      <c r="J23" s="83" t="inlineStr"/>
    </row>
    <row r="24" ht="30" customHeight="1">
      <c r="A24" s="79" t="inlineStr">
        <is>
          <t>M1</t>
        </is>
      </c>
      <c r="B24" s="80" t="inlineStr">
        <is>
          <t>Mercado</t>
        </is>
      </c>
      <c r="C24" s="84" t="inlineStr">
        <is>
          <t>Estrutural</t>
        </is>
      </c>
      <c r="D24" s="80" t="n">
        <v>2</v>
      </c>
      <c r="E24" s="80" t="inlineStr">
        <is>
          <t>Qual a primeira métrica que o franqueado olha de manhã? Que pergunta ele não consegue responder hoje?</t>
        </is>
      </c>
      <c r="F24" s="80" t="inlineStr">
        <is>
          <t>Define o que vai no plano Essencial — e o que corta.</t>
        </is>
      </c>
      <c r="G24" s="80" t="inlineStr">
        <is>
          <t>8 a 10 franqueados</t>
        </is>
      </c>
      <c r="H24" s="82" t="inlineStr">
        <is>
          <t>Não iniciado</t>
        </is>
      </c>
      <c r="I24" s="82" t="inlineStr"/>
      <c r="J24" s="83" t="inlineStr"/>
    </row>
    <row r="25" ht="30" customHeight="1">
      <c r="A25" s="79" t="inlineStr">
        <is>
          <t>M2</t>
        </is>
      </c>
      <c r="B25" s="80" t="inlineStr">
        <is>
          <t>Mercado</t>
        </is>
      </c>
      <c r="C25" s="84" t="inlineStr">
        <is>
          <t>Estrutural</t>
        </is>
      </c>
      <c r="D25" s="80" t="n">
        <v>2</v>
      </c>
      <c r="E25" s="80" t="inlineStr">
        <is>
          <t>Quanto pagaria? Teste de preço com R$ 199, R$ 349 e R$ 549.</t>
        </is>
      </c>
      <c r="F25" s="80" t="inlineStr">
        <is>
          <t>Valida ou derruba o ticket que sustenta todo o modelo.</t>
        </is>
      </c>
      <c r="G25" s="80" t="inlineStr">
        <is>
          <t>8 a 10 franqueados</t>
        </is>
      </c>
      <c r="H25" s="82" t="inlineStr">
        <is>
          <t>Não iniciado</t>
        </is>
      </c>
      <c r="I25" s="82" t="inlineStr"/>
      <c r="J25" s="83" t="inlineStr"/>
    </row>
    <row r="26" ht="30" customHeight="1">
      <c r="A26" s="79" t="inlineStr">
        <is>
          <t>F6</t>
        </is>
      </c>
      <c r="B26" s="80" t="inlineStr">
        <is>
          <t>Franqueadora</t>
        </is>
      </c>
      <c r="C26" s="85" t="inlineStr">
        <is>
          <t>Refinamento</t>
        </is>
      </c>
      <c r="D26" s="80" t="n">
        <v>3</v>
      </c>
      <c r="E26" s="80" t="inlineStr">
        <is>
          <t>A franqueadora coleta dados das lojas hoje? Como e para quê?</t>
        </is>
      </c>
      <c r="F26" s="80" t="inlineStr">
        <is>
          <t>Dimensiona o valor do Painel da Rede e o preço que suporta.</t>
        </is>
      </c>
      <c r="G26" s="80" t="inlineStr">
        <is>
          <t>Operações FE Franchising</t>
        </is>
      </c>
      <c r="H26" s="82" t="inlineStr">
        <is>
          <t>Não iniciado</t>
        </is>
      </c>
      <c r="I26" s="82" t="inlineStr"/>
      <c r="J26" s="83" t="inlineStr"/>
    </row>
    <row r="27" ht="30" customHeight="1">
      <c r="A27" s="79" t="inlineStr">
        <is>
          <t>F7</t>
        </is>
      </c>
      <c r="B27" s="80" t="inlineStr">
        <is>
          <t>Franqueadora</t>
        </is>
      </c>
      <c r="C27" s="85" t="inlineStr">
        <is>
          <t>Refinamento</t>
        </is>
      </c>
      <c r="D27" s="80" t="n">
        <v>3</v>
      </c>
      <c r="E27" s="80" t="inlineStr">
        <is>
          <t>O Conselho de Franqueados pode pautar isso? Quando é a próxima reunião?</t>
        </is>
      </c>
      <c r="F27" s="80" t="inlineStr">
        <is>
          <t>É o canal mais barato de validação com a rede.</t>
        </is>
      </c>
      <c r="G27" s="80" t="inlineStr">
        <is>
          <t>Conselho de Franqueados</t>
        </is>
      </c>
      <c r="H27" s="82" t="inlineStr">
        <is>
          <t>Não iniciado</t>
        </is>
      </c>
      <c r="I27" s="82" t="inlineStr"/>
      <c r="J27" s="83" t="inlineStr"/>
    </row>
    <row r="28" ht="30" customHeight="1">
      <c r="A28" s="79" t="inlineStr">
        <is>
          <t>T6</t>
        </is>
      </c>
      <c r="B28" s="80" t="inlineStr">
        <is>
          <t>Trinks</t>
        </is>
      </c>
      <c r="C28" s="85" t="inlineStr">
        <is>
          <t>Refinamento</t>
        </is>
      </c>
      <c r="D28" s="80" t="n">
        <v>3</v>
      </c>
      <c r="E28" s="80" t="inlineStr">
        <is>
          <t>Quantos salões no Brasil usam Trinks? Existe base fora da rede FAST?</t>
        </is>
      </c>
      <c r="F28" s="80" t="inlineStr">
        <is>
          <t>Dimensiona o TAM e a viabilidade do plano B.</t>
        </is>
      </c>
      <c r="G28" s="80" t="inlineStr">
        <is>
          <t>Comercial Trinks</t>
        </is>
      </c>
      <c r="H28" s="82" t="inlineStr">
        <is>
          <t>Não iniciado</t>
        </is>
      </c>
      <c r="I28" s="82" t="inlineStr"/>
      <c r="J28" s="83" t="inlineStr"/>
    </row>
    <row r="29" ht="30" customHeight="1">
      <c r="A29" s="79" t="inlineStr">
        <is>
          <t>M3</t>
        </is>
      </c>
      <c r="B29" s="80" t="inlineStr">
        <is>
          <t>Mercado</t>
        </is>
      </c>
      <c r="C29" s="85" t="inlineStr">
        <is>
          <t>Refinamento</t>
        </is>
      </c>
      <c r="D29" s="80" t="n">
        <v>3</v>
      </c>
      <c r="E29" s="80" t="inlineStr">
        <is>
          <t>Que ferramentas o franqueado usa além de Trinks e Sults, e quanto gasta?</t>
        </is>
      </c>
      <c r="F29" s="80" t="inlineStr">
        <is>
          <t>Mostra o orçamento disponível e a disposição real de pagar.</t>
        </is>
      </c>
      <c r="G29" s="80" t="inlineStr">
        <is>
          <t>8 a 10 franqueados</t>
        </is>
      </c>
      <c r="H29" s="82" t="inlineStr">
        <is>
          <t>Não iniciado</t>
        </is>
      </c>
      <c r="I29" s="82" t="inlineStr"/>
      <c r="J29" s="83" t="inlineStr"/>
    </row>
    <row r="30" ht="30" customHeight="1">
      <c r="A30" s="79" t="inlineStr">
        <is>
          <t>M4</t>
        </is>
      </c>
      <c r="B30" s="80" t="inlineStr">
        <is>
          <t>Mercado</t>
        </is>
      </c>
      <c r="C30" s="85" t="inlineStr">
        <is>
          <t>Refinamento</t>
        </is>
      </c>
      <c r="D30" s="80" t="n">
        <v>3</v>
      </c>
      <c r="E30" s="80" t="inlineStr">
        <is>
          <t>Quantas lojas da rede são multi-unidade, com o mesmo dono?</t>
        </is>
      </c>
      <c r="F30" s="80" t="inlineStr">
        <is>
          <t>Muda o produto e o preço (desconto por grupo).</t>
        </is>
      </c>
      <c r="G30" s="80" t="inlineStr">
        <is>
          <t>Franqueadora ou colegas</t>
        </is>
      </c>
      <c r="H30" s="82" t="inlineStr">
        <is>
          <t>Não iniciado</t>
        </is>
      </c>
      <c r="I30" s="82" t="inlineStr"/>
      <c r="J30" s="83" t="inlineStr"/>
    </row>
    <row r="31" ht="30" customHeight="1">
      <c r="A31" s="79" t="inlineStr">
        <is>
          <t>P2</t>
        </is>
      </c>
      <c r="B31" s="80" t="inlineStr">
        <is>
          <t>Produto</t>
        </is>
      </c>
      <c r="C31" s="84" t="inlineStr">
        <is>
          <t>Estrutural</t>
        </is>
      </c>
      <c r="D31" s="80" t="n">
        <v>3</v>
      </c>
      <c r="E31" s="80" t="inlineStr">
        <is>
          <t>Quantas requisições por loja/mês em regime, com ingestão incremental?</t>
        </is>
      </c>
      <c r="F31" s="80" t="inlineStr">
        <is>
          <t>Se estourar a cota, não escala sem contrato especial.</t>
        </is>
      </c>
      <c r="G31" s="80" t="inlineStr">
        <is>
          <t>Você, medindo</t>
        </is>
      </c>
      <c r="H31" s="82" t="inlineStr">
        <is>
          <t>Não iniciado</t>
        </is>
      </c>
      <c r="I31" s="82" t="inlineStr"/>
      <c r="J31" s="83" t="inlineStr"/>
    </row>
    <row r="32" ht="30" customHeight="1">
      <c r="A32" s="79" t="inlineStr">
        <is>
          <t>P3</t>
        </is>
      </c>
      <c r="B32" s="80" t="inlineStr">
        <is>
          <t>Produto</t>
        </is>
      </c>
      <c r="C32" s="84" t="inlineStr">
        <is>
          <t>Estrutural</t>
        </is>
      </c>
      <c r="D32" s="80" t="n">
        <v>3</v>
      </c>
      <c r="E32" s="80" t="inlineStr">
        <is>
          <t>Quais adquirentes as lojas usam? Stone é universal? Têm API?</t>
        </is>
      </c>
      <c r="F32" s="80" t="inlineStr">
        <is>
          <t>Define se a conciliação funciona fora da Limão.</t>
        </is>
      </c>
      <c r="G32" s="80" t="inlineStr">
        <is>
          <t>Você + franqueados</t>
        </is>
      </c>
      <c r="H32" s="82" t="inlineStr">
        <is>
          <t>Não iniciado</t>
        </is>
      </c>
      <c r="I32" s="82" t="inlineStr"/>
      <c r="J32" s="83" t="inlineStr"/>
    </row>
    <row r="33" ht="30" customHeight="1">
      <c r="A33" s="79" t="inlineStr">
        <is>
          <t>P4</t>
        </is>
      </c>
      <c r="B33" s="80" t="inlineStr">
        <is>
          <t>Produto</t>
        </is>
      </c>
      <c r="C33" s="84" t="inlineStr">
        <is>
          <t>Estrutural</t>
        </is>
      </c>
      <c r="D33" s="80" t="n">
        <v>3</v>
      </c>
      <c r="E33" s="80" t="inlineStr">
        <is>
          <t>Quanto do financeiro dá para automatizar sem Excel? Existe DRE padronizado da rede?</t>
        </is>
      </c>
      <c r="F33" s="80" t="inlineStr">
        <is>
          <t>Se houver modelo da rede, a Fase 2 encolhe muito.</t>
        </is>
      </c>
      <c r="G33" s="80" t="inlineStr">
        <is>
          <t>Você + franqueadora</t>
        </is>
      </c>
      <c r="H33" s="82" t="inlineStr">
        <is>
          <t>Não iniciado</t>
        </is>
      </c>
      <c r="I33" s="82" t="inlineStr"/>
      <c r="J33" s="83" t="inlineStr"/>
    </row>
    <row r="34" ht="30" customHeight="1">
      <c r="A34" s="79" t="inlineStr">
        <is>
          <t>P1</t>
        </is>
      </c>
      <c r="B34" s="80" t="inlineStr">
        <is>
          <t>Produto</t>
        </is>
      </c>
      <c r="C34" s="85" t="inlineStr">
        <is>
          <t>Refinamento</t>
        </is>
      </c>
      <c r="D34" s="80" t="n">
        <v>3</v>
      </c>
      <c r="E34" s="80" t="inlineStr">
        <is>
          <t>Custo real de infraestrutura por loja, medido com 5 lojas rodando.</t>
        </is>
      </c>
      <c r="F34" s="80" t="inlineStr">
        <is>
          <t>Modelado em R$ 8. Se for R$ 30, a margem cai para 78%.</t>
        </is>
      </c>
      <c r="G34" s="80" t="inlineStr">
        <is>
          <t>Você, medindo</t>
        </is>
      </c>
      <c r="H34" s="82" t="inlineStr">
        <is>
          <t>Não iniciado</t>
        </is>
      </c>
      <c r="I34" s="82" t="inlineStr"/>
      <c r="J34" s="83" t="inlineStr"/>
    </row>
    <row r="35" ht="30" customHeight="1">
      <c r="A35" s="79" t="inlineStr">
        <is>
          <t>P5</t>
        </is>
      </c>
      <c r="B35" s="80" t="inlineStr">
        <is>
          <t>Produto</t>
        </is>
      </c>
      <c r="C35" s="85" t="inlineStr">
        <is>
          <t>Refinamento</t>
        </is>
      </c>
      <c r="D35" s="80" t="n">
        <v>3</v>
      </c>
      <c r="E35" s="80" t="inlineStr">
        <is>
          <t>Qual BSP de WhatsApp usar, com que custo de setup e por conversa?</t>
        </is>
      </c>
      <c r="F35" s="80" t="inlineStr">
        <is>
          <t>Define a viabilidade do plano Crescimento.</t>
        </is>
      </c>
      <c r="G35" s="80" t="inlineStr">
        <is>
          <t>Você, cotando</t>
        </is>
      </c>
      <c r="H35" s="82" t="inlineStr">
        <is>
          <t>Não iniciado</t>
        </is>
      </c>
      <c r="I35" s="82" t="inlineStr"/>
      <c r="J35" s="83" t="inlineStr"/>
    </row>
    <row r="36" ht="30" customHeight="1">
      <c r="A36" s="79" t="inlineStr">
        <is>
          <t>N3</t>
        </is>
      </c>
      <c r="B36" s="80" t="inlineStr">
        <is>
          <t>Números</t>
        </is>
      </c>
      <c r="C36" s="84" t="inlineStr">
        <is>
          <t>Estrutural</t>
        </is>
      </c>
      <c r="D36" s="80" t="n">
        <v>3</v>
      </c>
      <c r="E36" s="80" t="inlineStr">
        <is>
          <t>Regime tributário da PJ de software: Simples, Lucro Presumido, alíquota de ISS?</t>
        </is>
      </c>
      <c r="F36" s="80" t="inlineStr">
        <is>
          <t>Pode consumir 6% a 16% da receita — hoje zerado no modelo.</t>
        </is>
      </c>
      <c r="G36" s="80" t="inlineStr">
        <is>
          <t>Contador</t>
        </is>
      </c>
      <c r="H36" s="82" t="inlineStr">
        <is>
          <t>Não iniciado</t>
        </is>
      </c>
      <c r="I36" s="82" t="inlineStr"/>
      <c r="J36" s="83" t="inlineStr"/>
    </row>
    <row r="37" ht="30" customHeight="1">
      <c r="A37" s="79" t="inlineStr">
        <is>
          <t>N1</t>
        </is>
      </c>
      <c r="B37" s="80" t="inlineStr">
        <is>
          <t>Números</t>
        </is>
      </c>
      <c r="C37" s="85" t="inlineStr">
        <is>
          <t>Refinamento</t>
        </is>
      </c>
      <c r="D37" s="80" t="n">
        <v>3</v>
      </c>
      <c r="E37" s="80" t="inlineStr">
        <is>
          <t>Preço real da conversa de marketing no WhatsApp, tabela Meta Brasil vigente.</t>
        </is>
      </c>
      <c r="F37" s="80" t="inlineStr">
        <is>
          <t>É repasse, então não afeta margem — mas afeta a proposta.</t>
        </is>
      </c>
      <c r="G37" s="80" t="inlineStr">
        <is>
          <t>Meta / BSP</t>
        </is>
      </c>
      <c r="H37" s="82" t="inlineStr">
        <is>
          <t>Não iniciado</t>
        </is>
      </c>
      <c r="I37" s="82" t="inlineStr"/>
      <c r="J37" s="83" t="inlineStr"/>
    </row>
    <row r="38" ht="30" customHeight="1">
      <c r="A38" s="79" t="inlineStr">
        <is>
          <t>N2</t>
        </is>
      </c>
      <c r="B38" s="80" t="inlineStr">
        <is>
          <t>Números</t>
        </is>
      </c>
      <c r="C38" s="85" t="inlineStr">
        <is>
          <t>Refinamento</t>
        </is>
      </c>
      <c r="D38" s="80" t="n">
        <v>3</v>
      </c>
      <c r="E38" s="80" t="inlineStr">
        <is>
          <t>Custo real de suporte por loja, medido no piloto.</t>
        </is>
      </c>
      <c r="F38" s="80" t="inlineStr">
        <is>
          <t>Modelado em R$ 34. É o maior componente do custo variável.</t>
        </is>
      </c>
      <c r="G38" s="80" t="inlineStr">
        <is>
          <t>Você, medindo</t>
        </is>
      </c>
      <c r="H38" s="82" t="inlineStr">
        <is>
          <t>Não iniciado</t>
        </is>
      </c>
      <c r="I38" s="82" t="inlineStr"/>
      <c r="J38" s="83" t="inlineStr"/>
    </row>
    <row r="40">
      <c r="A40" s="3" t="inlineStr">
        <is>
          <t>Progresso</t>
        </is>
      </c>
      <c r="E40" s="14" t="str">
        <f>COUNTIF(H5:H38,"Respondido")&amp;" de 34 respondidos"</f>
        <v>0 de 34 respondidos</v>
      </c>
    </row>
    <row r="41">
      <c r="E41" s="14" t="str">
        <f>COUNTIFS(C5:C38,"Bloqueante",H5:H38,"Respondido")&amp;" de 6 bloqueantes respondidos"</f>
        <v>0 de 6 bloqueantes respondidos</v>
      </c>
    </row>
    <row r="43">
      <c r="A43" s="2" t="inlineStr">
        <is>
          <t>Seis itens bloqueantes. Um advogado e três telefonemas — é todo o custo de descobrir se este projeto existe.</t>
        </is>
      </c>
    </row>
  </sheetData>
  <dataValidations count="1">
    <dataValidation sqref="H5:H38" showDropDown="0" showInputMessage="0" showErrorMessage="0" allowBlank="1" type="list">
      <formula1>"Não iniciado,Em andamento,Respondido,Descartado"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2026-09-08T18:33:03Z</dcterms:created>
  <dcterms:modified xsi:type="dcterms:W3CDTF">2026-09-08T18:33:04Z</dcterms:modified>
</cp:coreProperties>
</file>