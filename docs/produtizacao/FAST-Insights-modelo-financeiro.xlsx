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Premissas" sheetId="2" state="visible" r:id="rId2"/>
    <sheet name="Modelo mensal" sheetId="3" state="visible" r:id="rId3"/>
    <sheet name="Resumo" sheetId="4" state="visible" r:id="rId4"/>
    <sheet name="Cenários" sheetId="5" state="visible" r:id="rId5"/>
    <sheet name="Descobert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R$ #,##0;(R$ #,##0);&quot;–&quot;"/>
    <numFmt numFmtId="165" formatCode="0.0%;(0.0%);&quot;–&quot;"/>
    <numFmt numFmtId="166" formatCode="R$ #,##0.00;(R$ #,##0.00);&quot;–&quot;"/>
    <numFmt numFmtId="167" formatCode="#,##0;(#,##0);&quot;–&quot;"/>
    <numFmt numFmtId="168" formatCode="#,##0.0"/>
    <numFmt numFmtId="169" formatCode="0.0&quot;x&quot;"/>
    <numFmt numFmtId="170" formatCode="DD/MM/YYYY"/>
  </numFmts>
  <fonts count="17">
    <font>
      <name val="Calibri"/>
      <family val="2"/>
      <color theme="1"/>
      <sz val="11"/>
      <scheme val="minor"/>
    </font>
    <font>
      <name val="Arial"/>
      <b val="1"/>
      <color rgb="001B1A17"/>
      <sz val="14"/>
    </font>
    <font>
      <name val="Arial"/>
      <i val="1"/>
      <color rgb="006A675E"/>
      <sz val="10"/>
    </font>
    <font>
      <name val="Arial"/>
      <b val="1"/>
      <sz val="10"/>
    </font>
    <font>
      <name val="Arial"/>
      <sz val="10"/>
    </font>
    <font>
      <name val="Arial"/>
      <b val="1"/>
      <color rgb="001F4C88"/>
      <sz val="10"/>
    </font>
    <font>
      <name val="Arial"/>
      <b val="1"/>
      <color rgb="000000FF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FFFFFF"/>
      <sz val="9"/>
    </font>
    <font>
      <name val="Arial"/>
      <color rgb="000000FF"/>
      <sz val="10"/>
    </font>
    <font>
      <name val="Arial"/>
      <color rgb="00008000"/>
      <sz val="10"/>
    </font>
    <font>
      <name val="Arial"/>
      <b val="1"/>
      <i val="1"/>
      <color rgb="00FFFFFF"/>
      <sz val="9"/>
    </font>
    <font>
      <name val="Arial"/>
      <i val="1"/>
      <color rgb="008A5210"/>
      <sz val="9"/>
    </font>
    <font>
      <name val="Arial"/>
      <b val="1"/>
      <color rgb="001F4C88"/>
      <sz val="8"/>
    </font>
    <font>
      <name val="Arial"/>
      <color rgb="006A675E"/>
      <sz val="8"/>
    </font>
    <font>
      <name val="Arial"/>
      <sz val="8"/>
    </font>
  </fonts>
  <fills count="8">
    <fill>
      <patternFill/>
    </fill>
    <fill>
      <patternFill patternType="gray125"/>
    </fill>
    <fill>
      <patternFill patternType="solid">
        <fgColor rgb="00EAEFF7"/>
      </patternFill>
    </fill>
    <fill>
      <patternFill patternType="solid">
        <fgColor rgb="00FFFFCC"/>
      </patternFill>
    </fill>
    <fill>
      <patternFill patternType="solid">
        <fgColor rgb="001F4C88"/>
      </patternFill>
    </fill>
    <fill>
      <patternFill patternType="solid">
        <fgColor rgb="00F1F0EC"/>
      </patternFill>
    </fill>
    <fill>
      <patternFill patternType="solid">
        <fgColor rgb="00F7F0E4"/>
      </patternFill>
    </fill>
    <fill>
      <patternFill patternType="solid">
        <fgColor rgb="00F7E4E0"/>
      </patternFill>
    </fill>
  </fills>
  <borders count="2">
    <border>
      <left/>
      <right/>
      <top/>
      <bottom/>
      <diagonal/>
    </border>
    <border>
      <left style="thin">
        <color rgb="00D0CEC7"/>
      </left>
      <right style="thin">
        <color rgb="00D0CEC7"/>
      </right>
      <top style="thin">
        <color rgb="00D0CEC7"/>
      </top>
      <bottom style="thin">
        <color rgb="00D0CEC7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3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164" fontId="10" fillId="3" borderId="1" pivotButton="0" quotePrefix="0" xfId="0"/>
    <xf numFmtId="165" fontId="10" fillId="3" borderId="1" pivotButton="0" quotePrefix="0" xfId="0"/>
    <xf numFmtId="165" fontId="4" fillId="5" borderId="0" pivotButton="0" quotePrefix="0" xfId="0"/>
    <xf numFmtId="166" fontId="4" fillId="5" borderId="1" pivotButton="0" quotePrefix="0" xfId="0"/>
    <xf numFmtId="164" fontId="10" fillId="0" borderId="1" pivotButton="0" quotePrefix="0" xfId="0"/>
    <xf numFmtId="0" fontId="2" fillId="0" borderId="0" applyAlignment="1" pivotButton="0" quotePrefix="0" xfId="0">
      <alignment vertical="top" wrapText="1"/>
    </xf>
    <xf numFmtId="164" fontId="4" fillId="5" borderId="1" pivotButton="0" quotePrefix="0" xfId="0"/>
    <xf numFmtId="165" fontId="4" fillId="5" borderId="1" pivotButton="0" quotePrefix="0" xfId="0"/>
    <xf numFmtId="165" fontId="10" fillId="0" borderId="1" pivotButton="0" quotePrefix="0" xfId="0"/>
    <xf numFmtId="167" fontId="10" fillId="0" borderId="1" pivotButton="0" quotePrefix="0" xfId="0"/>
    <xf numFmtId="2" fontId="10" fillId="0" borderId="1" pivotButton="0" quotePrefix="0" xfId="0"/>
    <xf numFmtId="167" fontId="10" fillId="3" borderId="1" pivotButton="0" quotePrefix="0" xfId="0"/>
    <xf numFmtId="0" fontId="4" fillId="6" borderId="0" pivotButton="0" quotePrefix="0" xfId="0"/>
    <xf numFmtId="0" fontId="12" fillId="4" borderId="1" applyAlignment="1" pivotButton="0" quotePrefix="0" xfId="0">
      <alignment horizontal="center" vertical="center" wrapText="1"/>
    </xf>
    <xf numFmtId="167" fontId="4" fillId="0" borderId="0" pivotButton="0" quotePrefix="0" xfId="0"/>
    <xf numFmtId="167" fontId="11" fillId="0" borderId="1" pivotButton="0" quotePrefix="0" xfId="0"/>
    <xf numFmtId="168" fontId="11" fillId="0" borderId="1" pivotButton="0" quotePrefix="0" xfId="0"/>
    <xf numFmtId="168" fontId="4" fillId="0" borderId="1" pivotButton="0" quotePrefix="0" xfId="0"/>
    <xf numFmtId="164" fontId="11" fillId="0" borderId="1" pivotButton="0" quotePrefix="0" xfId="0"/>
    <xf numFmtId="164" fontId="4" fillId="0" borderId="1" pivotButton="0" quotePrefix="0" xfId="0"/>
    <xf numFmtId="167" fontId="4" fillId="0" borderId="1" pivotButton="0" quotePrefix="0" xfId="0"/>
    <xf numFmtId="167" fontId="4" fillId="5" borderId="0" pivotButton="0" quotePrefix="0" xfId="0"/>
    <xf numFmtId="167" fontId="11" fillId="5" borderId="1" pivotButton="0" quotePrefix="0" xfId="0"/>
    <xf numFmtId="168" fontId="11" fillId="5" borderId="1" pivotButton="0" quotePrefix="0" xfId="0"/>
    <xf numFmtId="168" fontId="4" fillId="5" borderId="1" pivotButton="0" quotePrefix="0" xfId="0"/>
    <xf numFmtId="164" fontId="11" fillId="5" borderId="1" pivotButton="0" quotePrefix="0" xfId="0"/>
    <xf numFmtId="167" fontId="4" fillId="5" borderId="1" pivotButton="0" quotePrefix="0" xfId="0"/>
    <xf numFmtId="164" fontId="8" fillId="3" borderId="1" pivotButton="0" quotePrefix="0" xfId="0"/>
    <xf numFmtId="167" fontId="8" fillId="3" borderId="1" pivotButton="0" quotePrefix="0" xfId="0"/>
    <xf numFmtId="168" fontId="8" fillId="3" borderId="1" pivotButton="0" quotePrefix="0" xfId="0"/>
    <xf numFmtId="165" fontId="11" fillId="0" borderId="1" pivotButton="0" quotePrefix="0" xfId="0"/>
    <xf numFmtId="166" fontId="11" fillId="0" borderId="1" pivotButton="0" quotePrefix="0" xfId="0"/>
    <xf numFmtId="169" fontId="11" fillId="0" borderId="1" pivotButton="0" quotePrefix="0" xfId="0"/>
    <xf numFmtId="0" fontId="13" fillId="0" borderId="0" pivotButton="0" quotePrefix="0" xfId="0"/>
    <xf numFmtId="0" fontId="3" fillId="5" borderId="0" pivotButton="0" quotePrefix="0" xfId="0"/>
    <xf numFmtId="166" fontId="11" fillId="5" borderId="1" pivotButton="0" quotePrefix="0" xfId="0"/>
    <xf numFmtId="165" fontId="11" fillId="5" borderId="1" pivotButton="0" quotePrefix="0" xfId="0"/>
    <xf numFmtId="167" fontId="10" fillId="5" borderId="1" pivotButton="0" quotePrefix="0" xfId="0"/>
    <xf numFmtId="165" fontId="10" fillId="5" borderId="1" pivotButton="0" quotePrefix="0" xfId="0"/>
    <xf numFmtId="166" fontId="10" fillId="0" borderId="1" pivotButton="0" quotePrefix="0" xfId="0"/>
    <xf numFmtId="0" fontId="14" fillId="0" borderId="0" pivotButton="0" quotePrefix="0" xfId="0"/>
    <xf numFmtId="0" fontId="15" fillId="0" borderId="0" pivotButton="0" quotePrefix="0" xfId="0"/>
    <xf numFmtId="168" fontId="16" fillId="0" borderId="0" pivotButton="0" quotePrefix="0" xfId="0"/>
    <xf numFmtId="164" fontId="16" fillId="0" borderId="0" pivotButton="0" quotePrefix="0" xfId="0"/>
    <xf numFmtId="167" fontId="16" fillId="0" borderId="0" pivotButton="0" quotePrefix="0" xfId="0"/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10" fillId="3" borderId="1" applyAlignment="1" pivotButton="0" quotePrefix="0" xfId="0">
      <alignment vertical="top" wrapText="1"/>
    </xf>
    <xf numFmtId="170" fontId="10" fillId="3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Caixa acumulado (R$)</a:t>
            </a:r>
          </a:p>
        </rich>
      </tx>
    </title>
    <plotArea>
      <lineChart>
        <grouping val="standard"/>
        <ser>
          <idx val="0"/>
          <order val="0"/>
          <tx>
            <strRef>
              <f>'Modelo mensal'!M4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mensal'!$A$5:$A$40</f>
            </numRef>
          </cat>
          <val>
            <numRef>
              <f>'Modelo mensal'!$M$5:$M$40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Mês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Lojas pagando</a:t>
            </a:r>
          </a:p>
        </rich>
      </tx>
    </title>
    <plotArea>
      <lineChart>
        <grouping val="standard"/>
        <ser>
          <idx val="0"/>
          <order val="0"/>
          <tx>
            <strRef>
              <f>'Modelo mensal'!C4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mensal'!$A$5:$A$40</f>
            </numRef>
          </cat>
          <val>
            <numRef>
              <f>'Modelo mensal'!$C$5:$C$40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Mês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Lojas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648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648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C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88" customWidth="1" min="3" max="3"/>
  </cols>
  <sheetData>
    <row r="2">
      <c r="B2" s="1" t="inlineStr">
        <is>
          <t>FAST Insights — modelo financeiro</t>
        </is>
      </c>
    </row>
    <row r="3">
      <c r="B3" s="2" t="inlineStr">
        <is>
          <t>Suporte quantitativo ao business plan · Rodrigo Garcia, franqueado FAST Limão · 08/09/2026</t>
        </is>
      </c>
    </row>
    <row r="5">
      <c r="B5" s="3" t="inlineStr"/>
      <c r="C5" s="4" t="inlineStr"/>
    </row>
    <row r="6">
      <c r="A6" s="5" t="inlineStr">
        <is>
          <t>COMO USAR</t>
        </is>
      </c>
      <c r="B6" s="6" t="n"/>
      <c r="C6" s="6" t="n"/>
    </row>
    <row r="7" ht="30" customHeight="1">
      <c r="B7" s="3" t="inlineStr">
        <is>
          <t>1. Mude só o azul</t>
        </is>
      </c>
      <c r="C7" s="4" t="inlineStr">
        <is>
          <t>Toda célula com texto AZUL na aba Premissas é uma entrada que você pode editar. Células pretas são fórmulas — não digite por cima delas.</t>
        </is>
      </c>
    </row>
    <row r="8" ht="30" customHeight="1">
      <c r="B8" s="3" t="inlineStr">
        <is>
          <t>2. Fundo amarelo = decisivo</t>
        </is>
      </c>
      <c r="C8" s="4" t="inlineStr">
        <is>
          <t>As entradas com fundo amarelo são as que mais mexem no resultado. Comece por elas.</t>
        </is>
      </c>
    </row>
    <row r="9" ht="30" customHeight="1">
      <c r="B9" s="3" t="inlineStr">
        <is>
          <t>3. O resto se ajusta sozinho</t>
        </is>
      </c>
      <c r="C9" s="4" t="inlineStr">
        <is>
          <t>Modelo mensal, Resumo e Cenários recalculam a partir das Premissas. Nenhum número deste arquivo é digitado duas vezes.</t>
        </is>
      </c>
    </row>
    <row r="10" ht="30" customHeight="1">
      <c r="B10" s="3" t="inlineStr">
        <is>
          <t>4. Se abrir e vier vazio</t>
        </is>
      </c>
      <c r="C10" s="4" t="inlineStr">
        <is>
          <t>Alguns visualizadores não recalculam sozinhos. Abra no Excel, LibreOffice ou Google Sheets e mande recalcular (no Excel: Ctrl+Alt+F9).</t>
        </is>
      </c>
    </row>
    <row r="11">
      <c r="B11" s="3" t="inlineStr"/>
      <c r="C11" s="4" t="inlineStr"/>
    </row>
    <row r="12">
      <c r="A12" s="5" t="inlineStr">
        <is>
          <t>AS ABAS</t>
        </is>
      </c>
      <c r="B12" s="6" t="n"/>
      <c r="C12" s="6" t="n"/>
    </row>
    <row r="13" ht="30" customHeight="1">
      <c r="B13" s="3" t="inlineStr">
        <is>
          <t>Premissas</t>
        </is>
      </c>
      <c r="C13" s="4" t="inlineStr">
        <is>
          <t>Todas as entradas do modelo, agrupadas por tema, com a fonte de cada número.</t>
        </is>
      </c>
    </row>
    <row r="14" ht="30" customHeight="1">
      <c r="B14" s="3" t="inlineStr">
        <is>
          <t>Modelo mensal</t>
        </is>
      </c>
      <c r="C14" s="4" t="inlineStr">
        <is>
          <t>36 meses, linha a linha: lojas, receita, custos, resultado e caixa acumulado.</t>
        </is>
      </c>
    </row>
    <row r="15" ht="30" customHeight="1">
      <c r="B15" s="3" t="inlineStr">
        <is>
          <t>Resumo</t>
        </is>
      </c>
      <c r="C15" s="4" t="inlineStr">
        <is>
          <t>Os números de decisão — capital necessário, ponto de equilíbrio, economia unitária — e os dois gráficos.</t>
        </is>
      </c>
    </row>
    <row r="16" ht="30" customHeight="1">
      <c r="B16" s="3" t="inlineStr">
        <is>
          <t>Cenários</t>
        </is>
      </c>
      <c r="C16" s="4" t="inlineStr">
        <is>
          <t>Nove cenários calculados ao vivo, inclusive os de participação da franqueadora na receita.</t>
        </is>
      </c>
    </row>
    <row r="17" ht="30" customHeight="1">
      <c r="B17" s="3" t="inlineStr">
        <is>
          <t>Descoberta</t>
        </is>
      </c>
      <c r="C17" s="4" t="inlineStr">
        <is>
          <t>Os 34 itens que faltam validar. Marque o status e anote a resposta.</t>
        </is>
      </c>
    </row>
    <row r="18">
      <c r="B18" s="3" t="inlineStr"/>
      <c r="C18" s="4" t="inlineStr"/>
    </row>
    <row r="19">
      <c r="A19" s="5" t="inlineStr">
        <is>
          <t>LEGENDA DE CORES</t>
        </is>
      </c>
      <c r="B19" s="6" t="n"/>
      <c r="C19" s="6" t="n"/>
    </row>
    <row r="20" ht="30" customHeight="1">
      <c r="B20" s="7" t="inlineStr">
        <is>
          <t>Azul</t>
        </is>
      </c>
      <c r="C20" s="4" t="inlineStr">
        <is>
          <t>Número digitado — é uma premissa, e você pode mudar.</t>
        </is>
      </c>
    </row>
    <row r="21" ht="30" customHeight="1">
      <c r="B21" s="8" t="inlineStr">
        <is>
          <t>Preto</t>
        </is>
      </c>
      <c r="C21" s="4" t="inlineStr">
        <is>
          <t>Fórmula calculada dentro da própria aba.</t>
        </is>
      </c>
    </row>
    <row r="22" ht="30" customHeight="1">
      <c r="B22" s="9" t="inlineStr">
        <is>
          <t>Verde</t>
        </is>
      </c>
      <c r="C22" s="4" t="inlineStr">
        <is>
          <t>Fórmula que busca valor em outra aba.</t>
        </is>
      </c>
    </row>
    <row r="23" ht="30" customHeight="1">
      <c r="B23" s="10" t="inlineStr">
        <is>
          <t>Fundo amarelo</t>
        </is>
      </c>
      <c r="C23" s="4" t="inlineStr">
        <is>
          <t>Premissa decisiva, ou campo para você preencher.</t>
        </is>
      </c>
    </row>
    <row r="24">
      <c r="B24" s="3" t="inlineStr"/>
      <c r="C24" s="4" t="inlineStr"/>
    </row>
    <row r="25">
      <c r="A25" s="5" t="inlineStr">
        <is>
          <t>TRÊS AVISOS HONESTOS</t>
        </is>
      </c>
      <c r="B25" s="6" t="n"/>
      <c r="C25" s="6" t="n"/>
    </row>
    <row r="26" ht="30" customHeight="1">
      <c r="B26" s="3" t="inlineStr">
        <is>
          <t>Projeção, não previsão</t>
        </is>
      </c>
      <c r="C26" s="4" t="inlineStr">
        <is>
          <t>Cada linha aqui é uma suposição explícita. As que ainda não foram verificadas estão na aba Descoberta — seis delas são bloqueantes.</t>
        </is>
      </c>
    </row>
    <row r="27" ht="30" customHeight="1">
      <c r="B27" s="3" t="inlineStr">
        <is>
          <t>Antes de impostos, por padrão</t>
        </is>
      </c>
      <c r="C27" s="4" t="inlineStr">
        <is>
          <t>A alíquota sobre a receita da empresa de software vem zerada (item N3 da Descoberta). Preencha-a em Premissas assim que o contador responder: no Simples, algo entre 6% e 16%.</t>
        </is>
      </c>
    </row>
    <row r="28" ht="30" customHeight="1">
      <c r="B28" s="3" t="inlineStr">
        <is>
          <t>Adoção já é líquida de churn</t>
        </is>
      </c>
      <c r="C28" s="4" t="inlineStr">
        <is>
          <t>A curva de adoção representa lojas ativas, já descontando quem sai. O churn das Premissas serve só para calcular o LTV.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2" customWidth="1" min="3" max="3"/>
    <col width="52" customWidth="1" min="4" max="4"/>
    <col width="2" customWidth="1" min="5" max="5"/>
  </cols>
  <sheetData>
    <row r="1">
      <c r="A1" s="1" t="inlineStr">
        <is>
          <t>Premissas</t>
        </is>
      </c>
    </row>
    <row r="2">
      <c r="A2" s="2" t="inlineStr">
        <is>
          <t>Edite apenas as células azuis. As amarelas são as que mais mudam o resultado.</t>
        </is>
      </c>
    </row>
    <row r="4" ht="28" customHeight="1">
      <c r="A4" s="11" t="inlineStr">
        <is>
          <t>Premissa</t>
        </is>
      </c>
      <c r="B4" s="11" t="inlineStr">
        <is>
          <t>Valor</t>
        </is>
      </c>
      <c r="C4" s="11" t="inlineStr">
        <is>
          <t>Unidade</t>
        </is>
      </c>
      <c r="D4" s="11" t="inlineStr">
        <is>
          <t>Origem / observação</t>
        </is>
      </c>
    </row>
    <row r="6">
      <c r="A6" s="5" t="inlineStr">
        <is>
          <t>PLANOS E MIX</t>
        </is>
      </c>
      <c r="B6" s="6" t="n"/>
      <c r="C6" s="6" t="n"/>
      <c r="D6" s="6" t="n"/>
    </row>
    <row r="7">
      <c r="A7" s="3" t="inlineStr">
        <is>
          <t>Plano</t>
        </is>
      </c>
      <c r="B7" s="3" t="inlineStr">
        <is>
          <t>Preço R$/mês</t>
        </is>
      </c>
      <c r="C7" s="3" t="inlineStr">
        <is>
          <t>Mix</t>
        </is>
      </c>
    </row>
    <row r="8">
      <c r="A8" s="12" t="inlineStr">
        <is>
          <t>Essencial</t>
        </is>
      </c>
      <c r="B8" s="13" t="n">
        <v>199</v>
      </c>
      <c r="C8" s="14" t="n">
        <v>0.4</v>
      </c>
    </row>
    <row r="9">
      <c r="A9" s="12" t="inlineStr">
        <is>
          <t>Gestão</t>
        </is>
      </c>
      <c r="B9" s="13" t="n">
        <v>349</v>
      </c>
      <c r="C9" s="14" t="n">
        <v>0.45</v>
      </c>
    </row>
    <row r="10">
      <c r="A10" s="12" t="inlineStr">
        <is>
          <t>Crescimento</t>
        </is>
      </c>
      <c r="B10" s="13" t="n">
        <v>549</v>
      </c>
      <c r="C10" s="14" t="n">
        <v>0.15</v>
      </c>
    </row>
    <row r="11">
      <c r="A11" s="3" t="inlineStr">
        <is>
          <t>Soma do mix (precisa dar 100%)</t>
        </is>
      </c>
      <c r="C11" s="15">
        <f>SUM(C8:C10)</f>
        <v/>
      </c>
    </row>
    <row r="12">
      <c r="A12" s="3" t="inlineStr">
        <is>
          <t>Ticket médio por loja</t>
        </is>
      </c>
      <c r="B12" s="16">
        <f>SUMPRODUCT(B8:B10,C8:C10)</f>
        <v/>
      </c>
      <c r="C12" s="2" t="inlineStr">
        <is>
          <t>R$/mês</t>
        </is>
      </c>
      <c r="D12" s="2" t="inlineStr">
        <is>
          <t>Preço médio ponderado pelo mix acima.</t>
        </is>
      </c>
    </row>
    <row r="14">
      <c r="A14" s="5" t="inlineStr">
        <is>
          <t>CUSTO POR LOJA</t>
        </is>
      </c>
      <c r="B14" s="6" t="n"/>
      <c r="C14" s="6" t="n"/>
      <c r="D14" s="6" t="n"/>
    </row>
    <row r="15">
      <c r="A15" s="12" t="inlineStr">
        <is>
          <t>Infraestrutura</t>
        </is>
      </c>
      <c r="B15" s="17" t="n">
        <v>8</v>
      </c>
      <c r="C15" s="2" t="inlineStr">
        <is>
          <t>R$/mês</t>
        </is>
      </c>
      <c r="D15" s="18" t="inlineStr">
        <is>
          <t>Servidor, banco e armazenamento rateados. A medir no piloto (item P1).</t>
        </is>
      </c>
    </row>
    <row r="16">
      <c r="A16" s="12" t="inlineStr">
        <is>
          <t>Suporte</t>
        </is>
      </c>
      <c r="B16" s="17" t="n">
        <v>34</v>
      </c>
      <c r="C16" s="2" t="inlineStr">
        <is>
          <t>R$/mês</t>
        </is>
      </c>
      <c r="D16" s="18" t="inlineStr">
        <is>
          <t>1 pessoa de CS para ~175 lojas. A medir no piloto (item N2).</t>
        </is>
      </c>
    </row>
    <row r="17">
      <c r="A17" s="12" t="inlineStr">
        <is>
          <t>Cobrança</t>
        </is>
      </c>
      <c r="B17" s="17" t="n">
        <v>3</v>
      </c>
      <c r="C17" s="2" t="inlineStr">
        <is>
          <t>R$/mês</t>
        </is>
      </c>
      <c r="D17" s="18" t="inlineStr">
        <is>
          <t>Taxa da plataforma de pagamento recorrente.</t>
        </is>
      </c>
    </row>
    <row r="18">
      <c r="A18" s="12" t="inlineStr">
        <is>
          <t>API / parceria de dados</t>
        </is>
      </c>
      <c r="B18" s="13" t="n">
        <v>0</v>
      </c>
      <c r="C18" s="2" t="inlineStr">
        <is>
          <t>R$/mês</t>
        </is>
      </c>
      <c r="D18" s="18" t="inlineStr">
        <is>
          <t>Zero enquanto a cota for do plano da loja. Item T2/T4 da Descoberta — se a Trinks cobrar por parceria, é aqui que entra.</t>
        </is>
      </c>
    </row>
    <row r="19">
      <c r="A19" s="12" t="inlineStr">
        <is>
          <t>Custo variável total</t>
        </is>
      </c>
      <c r="B19" s="19">
        <f>SUM(B15:B18)</f>
        <v/>
      </c>
      <c r="C19" s="2" t="inlineStr">
        <is>
          <t>R$/mês</t>
        </is>
      </c>
      <c r="D19" s="18" t="inlineStr">
        <is>
          <t>Soma dos quatro acima.</t>
        </is>
      </c>
    </row>
    <row r="20">
      <c r="A20" s="12" t="inlineStr">
        <is>
          <t>Margem de contribuição</t>
        </is>
      </c>
      <c r="B20" s="19">
        <f>B12-B19</f>
        <v/>
      </c>
      <c r="C20" s="2" t="inlineStr">
        <is>
          <t>R$/mês</t>
        </is>
      </c>
      <c r="D20" s="18" t="inlineStr">
        <is>
          <t>Ticket médio menos custo variável.</t>
        </is>
      </c>
    </row>
    <row r="21">
      <c r="A21" s="12" t="inlineStr">
        <is>
          <t>Margem de contribuição %</t>
        </is>
      </c>
      <c r="B21" s="20">
        <f>IF(B12=0,0,B20/B12)</f>
        <v/>
      </c>
      <c r="C21" s="2" t="inlineStr">
        <is>
          <t>%</t>
        </is>
      </c>
      <c r="D21" s="18" t="inlineStr"/>
    </row>
    <row r="23">
      <c r="A23" s="5" t="inlineStr">
        <is>
          <t>AQUISIÇÃO E RETENÇÃO</t>
        </is>
      </c>
      <c r="B23" s="6" t="n"/>
      <c r="C23" s="6" t="n"/>
      <c r="D23" s="6" t="n"/>
    </row>
    <row r="24">
      <c r="A24" s="12" t="inlineStr">
        <is>
          <t>CAC — custo de adquirir uma loja</t>
        </is>
      </c>
      <c r="B24" s="17" t="n">
        <v>400</v>
      </c>
      <c r="C24" s="2" t="inlineStr">
        <is>
          <t>R$</t>
        </is>
      </c>
      <c r="D24" s="18" t="inlineStr">
        <is>
          <t>Onboarding mais rateio de eventos da rede.</t>
        </is>
      </c>
    </row>
    <row r="25">
      <c r="A25" s="12" t="inlineStr">
        <is>
          <t>Churn mensal</t>
        </is>
      </c>
      <c r="B25" s="21" t="n">
        <v>0.015</v>
      </c>
      <c r="C25" s="2" t="inlineStr">
        <is>
          <t>%/mês</t>
        </is>
      </c>
      <c r="D25" s="18" t="inlineStr">
        <is>
          <t>Conservador; inclui fechamento de loja. Usado só no LTV — a curva de adoção já é líquida.</t>
        </is>
      </c>
    </row>
    <row r="27">
      <c r="A27" s="5" t="inlineStr">
        <is>
          <t>REDE E ADOÇÃO</t>
        </is>
      </c>
      <c r="B27" s="6" t="n"/>
      <c r="C27" s="6" t="n"/>
      <c r="D27" s="6" t="n"/>
    </row>
    <row r="28">
      <c r="A28" s="12" t="inlineStr">
        <is>
          <t>Lojas na rede hoje</t>
        </is>
      </c>
      <c r="B28" s="22" t="n">
        <v>431</v>
      </c>
      <c r="C28" s="2" t="inlineStr">
        <is>
          <t>lojas</t>
        </is>
      </c>
      <c r="D28" s="18" t="inlineStr">
        <is>
          <t>Fast Escova 401 + Fast Spa 30 em operação no fim de 2026. Fonte: Times Brasil / Mapa das Franquias, 09/2026.</t>
        </is>
      </c>
    </row>
    <row r="29">
      <c r="A29" s="12" t="inlineStr">
        <is>
          <t>Lojas na rede no mês 36</t>
        </is>
      </c>
      <c r="B29" s="22" t="n">
        <v>600</v>
      </c>
      <c r="C29" s="2" t="inlineStr">
        <is>
          <t>lojas</t>
        </is>
      </c>
      <c r="D29" s="18" t="inlineStr">
        <is>
          <t>Plano de expansão da rede: +159 lojas em 2026. Fonte: mesma acima.</t>
        </is>
      </c>
    </row>
    <row r="30">
      <c r="A30" s="12" t="inlineStr">
        <is>
          <t>Teto de adoção</t>
        </is>
      </c>
      <c r="B30" s="14" t="n">
        <v>0.65</v>
      </c>
      <c r="C30" s="2" t="inlineStr">
        <is>
          <t>% da rede</t>
        </is>
      </c>
      <c r="D30" s="18" t="inlineStr">
        <is>
          <t>Lojas novas em ramp-up, multi-unidade que negocia à parte, resistentes. Adoção total em rede de franquia é ficção.</t>
        </is>
      </c>
    </row>
    <row r="31">
      <c r="A31" s="12" t="inlineStr">
        <is>
          <t>Mês em que começam as vendas</t>
        </is>
      </c>
      <c r="B31" s="22" t="n">
        <v>7</v>
      </c>
      <c r="C31" s="2" t="inlineStr">
        <is>
          <t>mês</t>
        </is>
      </c>
      <c r="D31" s="18" t="inlineStr">
        <is>
          <t>Depois do acordo jurídico e do piloto.</t>
        </is>
      </c>
    </row>
    <row r="32">
      <c r="A32" s="12" t="inlineStr">
        <is>
          <t>Mês central da curva</t>
        </is>
      </c>
      <c r="B32" s="22" t="n">
        <v>16</v>
      </c>
      <c r="C32" s="2" t="inlineStr">
        <is>
          <t>mês</t>
        </is>
      </c>
      <c r="D32" s="18" t="inlineStr">
        <is>
          <t>Ponto de inflexão da adoção.</t>
        </is>
      </c>
    </row>
    <row r="33">
      <c r="A33" s="12" t="inlineStr">
        <is>
          <t>Inclinação da curva</t>
        </is>
      </c>
      <c r="B33" s="23" t="n">
        <v>0.32</v>
      </c>
      <c r="C33" s="2" t="inlineStr"/>
      <c r="D33" s="18" t="inlineStr">
        <is>
          <t>Quanto maior, mais rápida a adoção.</t>
        </is>
      </c>
    </row>
    <row r="34">
      <c r="A34" s="12" t="inlineStr">
        <is>
          <t>Atraso na homologação</t>
        </is>
      </c>
      <c r="B34" s="24" t="n">
        <v>0</v>
      </c>
      <c r="C34" s="2" t="inlineStr">
        <is>
          <t>meses</t>
        </is>
      </c>
      <c r="D34" s="18" t="inlineStr">
        <is>
          <t>Empurra todo o cronograma. Teste 6 para ver o efeito de a franqueadora demorar.</t>
        </is>
      </c>
    </row>
    <row r="36">
      <c r="A36" s="5" t="inlineStr">
        <is>
          <t>PAINEL DA REDE (FRANQUEADORA)</t>
        </is>
      </c>
      <c r="B36" s="6" t="n"/>
      <c r="C36" s="6" t="n"/>
      <c r="D36" s="6" t="n"/>
    </row>
    <row r="37">
      <c r="A37" s="12" t="inlineStr">
        <is>
          <t>Mensalidade</t>
        </is>
      </c>
      <c r="B37" s="13" t="n">
        <v>10000</v>
      </c>
      <c r="C37" s="2" t="inlineStr">
        <is>
          <t>R$/mês</t>
        </is>
      </c>
      <c r="D37" s="18" t="inlineStr">
        <is>
          <t>Meio da faixa proposta de R$ 8 a 15 mil.</t>
        </is>
      </c>
    </row>
    <row r="38">
      <c r="A38" s="12" t="inlineStr">
        <is>
          <t>Mês de início</t>
        </is>
      </c>
      <c r="B38" s="22" t="n">
        <v>9</v>
      </c>
      <c r="C38" s="2" t="inlineStr">
        <is>
          <t>mês</t>
        </is>
      </c>
      <c r="D38" s="18" t="inlineStr">
        <is>
          <t>Depois da Fase 2, quando o painel da rede existe.</t>
        </is>
      </c>
    </row>
    <row r="40">
      <c r="A40" s="5" t="inlineStr">
        <is>
          <t>CUSTO FIXO POR FASE</t>
        </is>
      </c>
      <c r="B40" s="6" t="n"/>
      <c r="C40" s="6" t="n"/>
      <c r="D40" s="6" t="n"/>
    </row>
    <row r="41">
      <c r="A41" s="12" t="inlineStr">
        <is>
          <t>Fase 0 — até o mês 2</t>
        </is>
      </c>
      <c r="B41" s="17" t="n">
        <v>5000</v>
      </c>
      <c r="C41" s="2" t="inlineStr">
        <is>
          <t>R$/mês</t>
        </is>
      </c>
      <c r="D41" s="18" t="inlineStr">
        <is>
          <t>Jurídico e negociação.</t>
        </is>
      </c>
    </row>
    <row r="42">
      <c r="A42" s="12" t="inlineStr">
        <is>
          <t>Fase 1 — meses 3 a 5</t>
        </is>
      </c>
      <c r="B42" s="17" t="n">
        <v>22000</v>
      </c>
      <c r="C42" s="2" t="inlineStr">
        <is>
          <t>R$/mês</t>
        </is>
      </c>
      <c r="D42" s="18" t="inlineStr">
        <is>
          <t>Dev sênior parceiro 16k + infra 3k + jurídico/contábil 3k.</t>
        </is>
      </c>
    </row>
    <row r="43">
      <c r="A43" s="12" t="inlineStr">
        <is>
          <t>Fase 2 — meses 6 a 8</t>
        </is>
      </c>
      <c r="B43" s="17" t="n">
        <v>28000</v>
      </c>
      <c r="C43" s="2" t="inlineStr">
        <is>
          <t>R$/mês</t>
        </is>
      </c>
      <c r="D43" s="18" t="inlineStr">
        <is>
          <t>Acrescenta CS meio período.</t>
        </is>
      </c>
    </row>
    <row r="44">
      <c r="A44" s="12" t="inlineStr">
        <is>
          <t>Regime — mês 9 em diante</t>
        </is>
      </c>
      <c r="B44" s="13" t="n">
        <v>35000</v>
      </c>
      <c r="C44" s="2" t="inlineStr">
        <is>
          <t>R$/mês</t>
        </is>
      </c>
      <c r="D44" s="18" t="inlineStr">
        <is>
          <t>Dev 16k + CS 6k + infra e contabilidade 3k + pró-labore 10k. Sem pró-labore: 25.000.</t>
        </is>
      </c>
    </row>
    <row r="46">
      <c r="A46" s="5" t="inlineStr">
        <is>
          <t>INVESTIMENTOS NÃO RECORRENTES</t>
        </is>
      </c>
      <c r="B46" s="6" t="n"/>
      <c r="C46" s="6" t="n"/>
      <c r="D46" s="6" t="n"/>
    </row>
    <row r="47">
      <c r="A47" s="12" t="inlineStr">
        <is>
          <t>Mês 1</t>
        </is>
      </c>
      <c r="B47" s="17" t="n">
        <v>8000</v>
      </c>
      <c r="C47" s="2" t="inlineStr">
        <is>
          <t>R$</t>
        </is>
      </c>
      <c r="D47" s="18" t="inlineStr">
        <is>
          <t>Fechar o acesso, contratos, jurídico inicial.</t>
        </is>
      </c>
    </row>
    <row r="48">
      <c r="A48" s="12" t="inlineStr">
        <is>
          <t>Mês 3</t>
        </is>
      </c>
      <c r="B48" s="17" t="n">
        <v>12000</v>
      </c>
      <c r="C48" s="2" t="inlineStr">
        <is>
          <t>R$</t>
        </is>
      </c>
      <c r="D48" s="18" t="inlineStr">
        <is>
          <t>Setup do MVP: infraestrutura, ferramentas, marca.</t>
        </is>
      </c>
    </row>
    <row r="49">
      <c r="A49" s="12" t="inlineStr">
        <is>
          <t>Mês 6</t>
        </is>
      </c>
      <c r="B49" s="17" t="n">
        <v>10000</v>
      </c>
      <c r="C49" s="2" t="inlineStr">
        <is>
          <t>R$</t>
        </is>
      </c>
      <c r="D49" s="18" t="inlineStr">
        <is>
          <t>Painel da rede e integração de cobrança.</t>
        </is>
      </c>
    </row>
    <row r="51">
      <c r="A51" s="5" t="inlineStr">
        <is>
          <t>ACORDO E IMPOSTOS</t>
        </is>
      </c>
      <c r="B51" s="6" t="n"/>
      <c r="C51" s="6" t="n"/>
      <c r="D51" s="6" t="n"/>
    </row>
    <row r="52">
      <c r="A52" s="12" t="inlineStr">
        <is>
          <t>Participação da franqueadora na receita</t>
        </is>
      </c>
      <c r="B52" s="14" t="n">
        <v>0</v>
      </c>
      <c r="C52" s="2" t="inlineStr">
        <is>
          <t>%</t>
        </is>
      </c>
      <c r="D52" s="18" t="inlineStr">
        <is>
          <t>Cenário de negociação. Até 35% o negócio se paga; a 50% não volta em 36 meses.</t>
        </is>
      </c>
    </row>
    <row r="53">
      <c r="A53" s="25" t="inlineStr">
        <is>
          <t>Impostos sobre a receita</t>
        </is>
      </c>
      <c r="B53" s="14" t="n">
        <v>0</v>
      </c>
      <c r="C53" s="2" t="inlineStr">
        <is>
          <t>%</t>
        </is>
      </c>
      <c r="D53" s="18" t="inlineStr">
        <is>
          <t>ITEM N3 EM ABERTO — no Simples anexo III, algo entre 6% e 16%. Preencher assim que o contador responder.</t>
        </is>
      </c>
    </row>
    <row r="55">
      <c r="A55" s="2" t="inlineStr">
        <is>
          <t>Fontes de mercado: Times Brasil, Mapa das Franquias e Portal do Franchising (setembro de 2026).</t>
        </is>
      </c>
    </row>
    <row r="56">
      <c r="A56" s="2" t="inlineStr">
        <is>
          <t>Cláusulas citadas: contrato de franquia FAST Escova assinado em 27/01/2026, e Termos de Uso da Trinks.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3" customWidth="1" min="3" max="3"/>
    <col width="12" customWidth="1" min="4" max="4"/>
    <col width="15" customWidth="1" min="5" max="5"/>
    <col width="14" customWidth="1" min="6" max="6"/>
    <col width="15" customWidth="1" min="7" max="7"/>
    <col width="13" customWidth="1" min="8" max="8"/>
    <col width="14" customWidth="1" min="9" max="9"/>
    <col width="13" customWidth="1" min="10" max="10"/>
    <col width="13" customWidth="1" min="11" max="11"/>
    <col width="15" customWidth="1" min="12" max="12"/>
    <col width="16" customWidth="1" min="13" max="13"/>
    <col width="13" customWidth="1" min="14" max="14"/>
    <col width="14" customWidth="1" min="15" max="15"/>
  </cols>
  <sheetData>
    <row r="1">
      <c r="A1" s="1" t="inlineStr">
        <is>
          <t>Modelo mensal — 36 meses</t>
        </is>
      </c>
    </row>
    <row r="2">
      <c r="A2" s="2" t="inlineStr">
        <is>
          <t>Todas as colunas são fórmulas que leem a aba Premissas. Custos aparecem como negativos.</t>
        </is>
      </c>
    </row>
    <row r="4" ht="28" customHeight="1">
      <c r="A4" s="11" t="inlineStr">
        <is>
          <t>Mês</t>
        </is>
      </c>
      <c r="B4" s="11" t="inlineStr">
        <is>
          <t>Lojas na rede</t>
        </is>
      </c>
      <c r="C4" s="11" t="inlineStr">
        <is>
          <t>Lojas pagando</t>
        </is>
      </c>
      <c r="D4" s="11" t="inlineStr">
        <is>
          <t>Novas no mês</t>
        </is>
      </c>
      <c r="E4" s="11" t="inlineStr">
        <is>
          <t>Receita planos</t>
        </is>
      </c>
      <c r="F4" s="11" t="inlineStr">
        <is>
          <t>Painel da Rede</t>
        </is>
      </c>
      <c r="G4" s="11" t="inlineStr">
        <is>
          <t>Receita total</t>
        </is>
      </c>
      <c r="H4" s="11" t="inlineStr">
        <is>
          <t>Impostos</t>
        </is>
      </c>
      <c r="I4" s="11" t="inlineStr">
        <is>
          <t>Custo variável</t>
        </is>
      </c>
      <c r="J4" s="11" t="inlineStr">
        <is>
          <t>Custo fixo</t>
        </is>
      </c>
      <c r="K4" s="11" t="inlineStr">
        <is>
          <t>Investimento</t>
        </is>
      </c>
      <c r="L4" s="11" t="inlineStr">
        <is>
          <t>Resultado</t>
        </is>
      </c>
      <c r="M4" s="11" t="inlineStr">
        <is>
          <t>Caixa acumulado</t>
        </is>
      </c>
      <c r="N4" s="26" t="inlineStr">
        <is>
          <t>1º mês positivo</t>
        </is>
      </c>
      <c r="O4" s="26" t="inlineStr">
        <is>
          <t>1º mês caixa &gt; 0</t>
        </is>
      </c>
    </row>
    <row r="5">
      <c r="A5" s="27" t="n">
        <v>1</v>
      </c>
      <c r="B5" s="28">
        <f>Premissas!$B$28+(Premissas!$B$29-Premissas!$B$28)*A5/36</f>
        <v/>
      </c>
      <c r="C5" s="29">
        <f>IF(A5-Premissas!$B$34&lt;Premissas!$B$31,0,Premissas!$B$30*B5/(1+EXP(-Premissas!$B$33*(A5-Premissas!$B$34-Premissas!$B$32))))</f>
        <v/>
      </c>
      <c r="D5" s="30">
        <f>C5</f>
        <v/>
      </c>
      <c r="E5" s="31">
        <f>C5*Premissas!$B$12*(1-Premissas!$B$52)</f>
        <v/>
      </c>
      <c r="F5" s="31">
        <f>IF(A5&gt;=Premissas!$B$38+Premissas!$B$34,Premissas!$B$37*(1-Premissas!$B$52),0)</f>
        <v/>
      </c>
      <c r="G5" s="32">
        <f>E5+F5</f>
        <v/>
      </c>
      <c r="H5" s="31">
        <f>-G5*Premissas!$B$53</f>
        <v/>
      </c>
      <c r="I5" s="31">
        <f>-(C5*Premissas!$B$19+D5*Premissas!$B$24)</f>
        <v/>
      </c>
      <c r="J5" s="31">
        <f>-IF(A5-Premissas!$B$34&lt;=2,Premissas!$B$41,IF(A5-Premissas!$B$34&lt;=5,Premissas!$B$42,IF(A5-Premissas!$B$34&lt;=8,Premissas!$B$43,Premissas!$B$44)))</f>
        <v/>
      </c>
      <c r="K5" s="31">
        <f>-IF(A5=1+Premissas!$B$34,Premissas!$B$47,IF(A5=3+Premissas!$B$34,Premissas!$B$48,IF(A5=6+Premissas!$B$34,Premissas!$B$49,0)))</f>
        <v/>
      </c>
      <c r="L5" s="32">
        <f>G5+H5+I5+J5+K5</f>
        <v/>
      </c>
      <c r="M5" s="32">
        <f>L5</f>
        <v/>
      </c>
      <c r="N5" s="33">
        <f>IF(L5&gt;0,A5,9999)</f>
        <v/>
      </c>
      <c r="O5" s="33">
        <f>IF(M5&gt;0,A5,9999)</f>
        <v/>
      </c>
    </row>
    <row r="6">
      <c r="A6" s="27" t="n">
        <v>2</v>
      </c>
      <c r="B6" s="28">
        <f>Premissas!$B$28+(Premissas!$B$29-Premissas!$B$28)*A6/36</f>
        <v/>
      </c>
      <c r="C6" s="29">
        <f>IF(A6-Premissas!$B$34&lt;Premissas!$B$31,0,Premissas!$B$30*B6/(1+EXP(-Premissas!$B$33*(A6-Premissas!$B$34-Premissas!$B$32))))</f>
        <v/>
      </c>
      <c r="D6" s="30">
        <f>MAX(0,C6-C5)</f>
        <v/>
      </c>
      <c r="E6" s="31">
        <f>C6*Premissas!$B$12*(1-Premissas!$B$52)</f>
        <v/>
      </c>
      <c r="F6" s="31">
        <f>IF(A6&gt;=Premissas!$B$38+Premissas!$B$34,Premissas!$B$37*(1-Premissas!$B$52),0)</f>
        <v/>
      </c>
      <c r="G6" s="32">
        <f>E6+F6</f>
        <v/>
      </c>
      <c r="H6" s="31">
        <f>-G6*Premissas!$B$53</f>
        <v/>
      </c>
      <c r="I6" s="31">
        <f>-(C6*Premissas!$B$19+D6*Premissas!$B$24)</f>
        <v/>
      </c>
      <c r="J6" s="31">
        <f>-IF(A6-Premissas!$B$34&lt;=2,Premissas!$B$41,IF(A6-Premissas!$B$34&lt;=5,Premissas!$B$42,IF(A6-Premissas!$B$34&lt;=8,Premissas!$B$43,Premissas!$B$44)))</f>
        <v/>
      </c>
      <c r="K6" s="31">
        <f>-IF(A6=1+Premissas!$B$34,Premissas!$B$47,IF(A6=3+Premissas!$B$34,Premissas!$B$48,IF(A6=6+Premissas!$B$34,Premissas!$B$49,0)))</f>
        <v/>
      </c>
      <c r="L6" s="32">
        <f>G6+H6+I6+J6+K6</f>
        <v/>
      </c>
      <c r="M6" s="32">
        <f>M5+L6</f>
        <v/>
      </c>
      <c r="N6" s="33">
        <f>IF(L6&gt;0,A6,9999)</f>
        <v/>
      </c>
      <c r="O6" s="33">
        <f>IF(M6&gt;0,A6,9999)</f>
        <v/>
      </c>
    </row>
    <row r="7">
      <c r="A7" s="27" t="n">
        <v>3</v>
      </c>
      <c r="B7" s="28">
        <f>Premissas!$B$28+(Premissas!$B$29-Premissas!$B$28)*A7/36</f>
        <v/>
      </c>
      <c r="C7" s="29">
        <f>IF(A7-Premissas!$B$34&lt;Premissas!$B$31,0,Premissas!$B$30*B7/(1+EXP(-Premissas!$B$33*(A7-Premissas!$B$34-Premissas!$B$32))))</f>
        <v/>
      </c>
      <c r="D7" s="30">
        <f>MAX(0,C7-C6)</f>
        <v/>
      </c>
      <c r="E7" s="31">
        <f>C7*Premissas!$B$12*(1-Premissas!$B$52)</f>
        <v/>
      </c>
      <c r="F7" s="31">
        <f>IF(A7&gt;=Premissas!$B$38+Premissas!$B$34,Premissas!$B$37*(1-Premissas!$B$52),0)</f>
        <v/>
      </c>
      <c r="G7" s="32">
        <f>E7+F7</f>
        <v/>
      </c>
      <c r="H7" s="31">
        <f>-G7*Premissas!$B$53</f>
        <v/>
      </c>
      <c r="I7" s="31">
        <f>-(C7*Premissas!$B$19+D7*Premissas!$B$24)</f>
        <v/>
      </c>
      <c r="J7" s="31">
        <f>-IF(A7-Premissas!$B$34&lt;=2,Premissas!$B$41,IF(A7-Premissas!$B$34&lt;=5,Premissas!$B$42,IF(A7-Premissas!$B$34&lt;=8,Premissas!$B$43,Premissas!$B$44)))</f>
        <v/>
      </c>
      <c r="K7" s="31">
        <f>-IF(A7=1+Premissas!$B$34,Premissas!$B$47,IF(A7=3+Premissas!$B$34,Premissas!$B$48,IF(A7=6+Premissas!$B$34,Premissas!$B$49,0)))</f>
        <v/>
      </c>
      <c r="L7" s="32">
        <f>G7+H7+I7+J7+K7</f>
        <v/>
      </c>
      <c r="M7" s="32">
        <f>M6+L7</f>
        <v/>
      </c>
      <c r="N7" s="33">
        <f>IF(L7&gt;0,A7,9999)</f>
        <v/>
      </c>
      <c r="O7" s="33">
        <f>IF(M7&gt;0,A7,9999)</f>
        <v/>
      </c>
    </row>
    <row r="8">
      <c r="A8" s="27" t="n">
        <v>4</v>
      </c>
      <c r="B8" s="28">
        <f>Premissas!$B$28+(Premissas!$B$29-Premissas!$B$28)*A8/36</f>
        <v/>
      </c>
      <c r="C8" s="29">
        <f>IF(A8-Premissas!$B$34&lt;Premissas!$B$31,0,Premissas!$B$30*B8/(1+EXP(-Premissas!$B$33*(A8-Premissas!$B$34-Premissas!$B$32))))</f>
        <v/>
      </c>
      <c r="D8" s="30">
        <f>MAX(0,C8-C7)</f>
        <v/>
      </c>
      <c r="E8" s="31">
        <f>C8*Premissas!$B$12*(1-Premissas!$B$52)</f>
        <v/>
      </c>
      <c r="F8" s="31">
        <f>IF(A8&gt;=Premissas!$B$38+Premissas!$B$34,Premissas!$B$37*(1-Premissas!$B$52),0)</f>
        <v/>
      </c>
      <c r="G8" s="32">
        <f>E8+F8</f>
        <v/>
      </c>
      <c r="H8" s="31">
        <f>-G8*Premissas!$B$53</f>
        <v/>
      </c>
      <c r="I8" s="31">
        <f>-(C8*Premissas!$B$19+D8*Premissas!$B$24)</f>
        <v/>
      </c>
      <c r="J8" s="31">
        <f>-IF(A8-Premissas!$B$34&lt;=2,Premissas!$B$41,IF(A8-Premissas!$B$34&lt;=5,Premissas!$B$42,IF(A8-Premissas!$B$34&lt;=8,Premissas!$B$43,Premissas!$B$44)))</f>
        <v/>
      </c>
      <c r="K8" s="31">
        <f>-IF(A8=1+Premissas!$B$34,Premissas!$B$47,IF(A8=3+Premissas!$B$34,Premissas!$B$48,IF(A8=6+Premissas!$B$34,Premissas!$B$49,0)))</f>
        <v/>
      </c>
      <c r="L8" s="32">
        <f>G8+H8+I8+J8+K8</f>
        <v/>
      </c>
      <c r="M8" s="32">
        <f>M7+L8</f>
        <v/>
      </c>
      <c r="N8" s="33">
        <f>IF(L8&gt;0,A8,9999)</f>
        <v/>
      </c>
      <c r="O8" s="33">
        <f>IF(M8&gt;0,A8,9999)</f>
        <v/>
      </c>
    </row>
    <row r="9">
      <c r="A9" s="27" t="n">
        <v>5</v>
      </c>
      <c r="B9" s="28">
        <f>Premissas!$B$28+(Premissas!$B$29-Premissas!$B$28)*A9/36</f>
        <v/>
      </c>
      <c r="C9" s="29">
        <f>IF(A9-Premissas!$B$34&lt;Premissas!$B$31,0,Premissas!$B$30*B9/(1+EXP(-Premissas!$B$33*(A9-Premissas!$B$34-Premissas!$B$32))))</f>
        <v/>
      </c>
      <c r="D9" s="30">
        <f>MAX(0,C9-C8)</f>
        <v/>
      </c>
      <c r="E9" s="31">
        <f>C9*Premissas!$B$12*(1-Premissas!$B$52)</f>
        <v/>
      </c>
      <c r="F9" s="31">
        <f>IF(A9&gt;=Premissas!$B$38+Premissas!$B$34,Premissas!$B$37*(1-Premissas!$B$52),0)</f>
        <v/>
      </c>
      <c r="G9" s="32">
        <f>E9+F9</f>
        <v/>
      </c>
      <c r="H9" s="31">
        <f>-G9*Premissas!$B$53</f>
        <v/>
      </c>
      <c r="I9" s="31">
        <f>-(C9*Premissas!$B$19+D9*Premissas!$B$24)</f>
        <v/>
      </c>
      <c r="J9" s="31">
        <f>-IF(A9-Premissas!$B$34&lt;=2,Premissas!$B$41,IF(A9-Premissas!$B$34&lt;=5,Premissas!$B$42,IF(A9-Premissas!$B$34&lt;=8,Premissas!$B$43,Premissas!$B$44)))</f>
        <v/>
      </c>
      <c r="K9" s="31">
        <f>-IF(A9=1+Premissas!$B$34,Premissas!$B$47,IF(A9=3+Premissas!$B$34,Premissas!$B$48,IF(A9=6+Premissas!$B$34,Premissas!$B$49,0)))</f>
        <v/>
      </c>
      <c r="L9" s="32">
        <f>G9+H9+I9+J9+K9</f>
        <v/>
      </c>
      <c r="M9" s="32">
        <f>M8+L9</f>
        <v/>
      </c>
      <c r="N9" s="33">
        <f>IF(L9&gt;0,A9,9999)</f>
        <v/>
      </c>
      <c r="O9" s="33">
        <f>IF(M9&gt;0,A9,9999)</f>
        <v/>
      </c>
    </row>
    <row r="10">
      <c r="A10" s="27" t="n">
        <v>6</v>
      </c>
      <c r="B10" s="28">
        <f>Premissas!$B$28+(Premissas!$B$29-Premissas!$B$28)*A10/36</f>
        <v/>
      </c>
      <c r="C10" s="29">
        <f>IF(A10-Premissas!$B$34&lt;Premissas!$B$31,0,Premissas!$B$30*B10/(1+EXP(-Premissas!$B$33*(A10-Premissas!$B$34-Premissas!$B$32))))</f>
        <v/>
      </c>
      <c r="D10" s="30">
        <f>MAX(0,C10-C9)</f>
        <v/>
      </c>
      <c r="E10" s="31">
        <f>C10*Premissas!$B$12*(1-Premissas!$B$52)</f>
        <v/>
      </c>
      <c r="F10" s="31">
        <f>IF(A10&gt;=Premissas!$B$38+Premissas!$B$34,Premissas!$B$37*(1-Premissas!$B$52),0)</f>
        <v/>
      </c>
      <c r="G10" s="32">
        <f>E10+F10</f>
        <v/>
      </c>
      <c r="H10" s="31">
        <f>-G10*Premissas!$B$53</f>
        <v/>
      </c>
      <c r="I10" s="31">
        <f>-(C10*Premissas!$B$19+D10*Premissas!$B$24)</f>
        <v/>
      </c>
      <c r="J10" s="31">
        <f>-IF(A10-Premissas!$B$34&lt;=2,Premissas!$B$41,IF(A10-Premissas!$B$34&lt;=5,Premissas!$B$42,IF(A10-Premissas!$B$34&lt;=8,Premissas!$B$43,Premissas!$B$44)))</f>
        <v/>
      </c>
      <c r="K10" s="31">
        <f>-IF(A10=1+Premissas!$B$34,Premissas!$B$47,IF(A10=3+Premissas!$B$34,Premissas!$B$48,IF(A10=6+Premissas!$B$34,Premissas!$B$49,0)))</f>
        <v/>
      </c>
      <c r="L10" s="32">
        <f>G10+H10+I10+J10+K10</f>
        <v/>
      </c>
      <c r="M10" s="32">
        <f>M9+L10</f>
        <v/>
      </c>
      <c r="N10" s="33">
        <f>IF(L10&gt;0,A10,9999)</f>
        <v/>
      </c>
      <c r="O10" s="33">
        <f>IF(M10&gt;0,A10,9999)</f>
        <v/>
      </c>
    </row>
    <row r="11">
      <c r="A11" s="27" t="n">
        <v>7</v>
      </c>
      <c r="B11" s="28">
        <f>Premissas!$B$28+(Premissas!$B$29-Premissas!$B$28)*A11/36</f>
        <v/>
      </c>
      <c r="C11" s="29">
        <f>IF(A11-Premissas!$B$34&lt;Premissas!$B$31,0,Premissas!$B$30*B11/(1+EXP(-Premissas!$B$33*(A11-Premissas!$B$34-Premissas!$B$32))))</f>
        <v/>
      </c>
      <c r="D11" s="30">
        <f>MAX(0,C11-C10)</f>
        <v/>
      </c>
      <c r="E11" s="31">
        <f>C11*Premissas!$B$12*(1-Premissas!$B$52)</f>
        <v/>
      </c>
      <c r="F11" s="31">
        <f>IF(A11&gt;=Premissas!$B$38+Premissas!$B$34,Premissas!$B$37*(1-Premissas!$B$52),0)</f>
        <v/>
      </c>
      <c r="G11" s="32">
        <f>E11+F11</f>
        <v/>
      </c>
      <c r="H11" s="31">
        <f>-G11*Premissas!$B$53</f>
        <v/>
      </c>
      <c r="I11" s="31">
        <f>-(C11*Premissas!$B$19+D11*Premissas!$B$24)</f>
        <v/>
      </c>
      <c r="J11" s="31">
        <f>-IF(A11-Premissas!$B$34&lt;=2,Premissas!$B$41,IF(A11-Premissas!$B$34&lt;=5,Premissas!$B$42,IF(A11-Premissas!$B$34&lt;=8,Premissas!$B$43,Premissas!$B$44)))</f>
        <v/>
      </c>
      <c r="K11" s="31">
        <f>-IF(A11=1+Premissas!$B$34,Premissas!$B$47,IF(A11=3+Premissas!$B$34,Premissas!$B$48,IF(A11=6+Premissas!$B$34,Premissas!$B$49,0)))</f>
        <v/>
      </c>
      <c r="L11" s="32">
        <f>G11+H11+I11+J11+K11</f>
        <v/>
      </c>
      <c r="M11" s="32">
        <f>M10+L11</f>
        <v/>
      </c>
      <c r="N11" s="33">
        <f>IF(L11&gt;0,A11,9999)</f>
        <v/>
      </c>
      <c r="O11" s="33">
        <f>IF(M11&gt;0,A11,9999)</f>
        <v/>
      </c>
    </row>
    <row r="12">
      <c r="A12" s="27" t="n">
        <v>8</v>
      </c>
      <c r="B12" s="28">
        <f>Premissas!$B$28+(Premissas!$B$29-Premissas!$B$28)*A12/36</f>
        <v/>
      </c>
      <c r="C12" s="29">
        <f>IF(A12-Premissas!$B$34&lt;Premissas!$B$31,0,Premissas!$B$30*B12/(1+EXP(-Premissas!$B$33*(A12-Premissas!$B$34-Premissas!$B$32))))</f>
        <v/>
      </c>
      <c r="D12" s="30">
        <f>MAX(0,C12-C11)</f>
        <v/>
      </c>
      <c r="E12" s="31">
        <f>C12*Premissas!$B$12*(1-Premissas!$B$52)</f>
        <v/>
      </c>
      <c r="F12" s="31">
        <f>IF(A12&gt;=Premissas!$B$38+Premissas!$B$34,Premissas!$B$37*(1-Premissas!$B$52),0)</f>
        <v/>
      </c>
      <c r="G12" s="32">
        <f>E12+F12</f>
        <v/>
      </c>
      <c r="H12" s="31">
        <f>-G12*Premissas!$B$53</f>
        <v/>
      </c>
      <c r="I12" s="31">
        <f>-(C12*Premissas!$B$19+D12*Premissas!$B$24)</f>
        <v/>
      </c>
      <c r="J12" s="31">
        <f>-IF(A12-Premissas!$B$34&lt;=2,Premissas!$B$41,IF(A12-Premissas!$B$34&lt;=5,Premissas!$B$42,IF(A12-Premissas!$B$34&lt;=8,Premissas!$B$43,Premissas!$B$44)))</f>
        <v/>
      </c>
      <c r="K12" s="31">
        <f>-IF(A12=1+Premissas!$B$34,Premissas!$B$47,IF(A12=3+Premissas!$B$34,Premissas!$B$48,IF(A12=6+Premissas!$B$34,Premissas!$B$49,0)))</f>
        <v/>
      </c>
      <c r="L12" s="32">
        <f>G12+H12+I12+J12+K12</f>
        <v/>
      </c>
      <c r="M12" s="32">
        <f>M11+L12</f>
        <v/>
      </c>
      <c r="N12" s="33">
        <f>IF(L12&gt;0,A12,9999)</f>
        <v/>
      </c>
      <c r="O12" s="33">
        <f>IF(M12&gt;0,A12,9999)</f>
        <v/>
      </c>
    </row>
    <row r="13">
      <c r="A13" s="27" t="n">
        <v>9</v>
      </c>
      <c r="B13" s="28">
        <f>Premissas!$B$28+(Premissas!$B$29-Premissas!$B$28)*A13/36</f>
        <v/>
      </c>
      <c r="C13" s="29">
        <f>IF(A13-Premissas!$B$34&lt;Premissas!$B$31,0,Premissas!$B$30*B13/(1+EXP(-Premissas!$B$33*(A13-Premissas!$B$34-Premissas!$B$32))))</f>
        <v/>
      </c>
      <c r="D13" s="30">
        <f>MAX(0,C13-C12)</f>
        <v/>
      </c>
      <c r="E13" s="31">
        <f>C13*Premissas!$B$12*(1-Premissas!$B$52)</f>
        <v/>
      </c>
      <c r="F13" s="31">
        <f>IF(A13&gt;=Premissas!$B$38+Premissas!$B$34,Premissas!$B$37*(1-Premissas!$B$52),0)</f>
        <v/>
      </c>
      <c r="G13" s="32">
        <f>E13+F13</f>
        <v/>
      </c>
      <c r="H13" s="31">
        <f>-G13*Premissas!$B$53</f>
        <v/>
      </c>
      <c r="I13" s="31">
        <f>-(C13*Premissas!$B$19+D13*Premissas!$B$24)</f>
        <v/>
      </c>
      <c r="J13" s="31">
        <f>-IF(A13-Premissas!$B$34&lt;=2,Premissas!$B$41,IF(A13-Premissas!$B$34&lt;=5,Premissas!$B$42,IF(A13-Premissas!$B$34&lt;=8,Premissas!$B$43,Premissas!$B$44)))</f>
        <v/>
      </c>
      <c r="K13" s="31">
        <f>-IF(A13=1+Premissas!$B$34,Premissas!$B$47,IF(A13=3+Premissas!$B$34,Premissas!$B$48,IF(A13=6+Premissas!$B$34,Premissas!$B$49,0)))</f>
        <v/>
      </c>
      <c r="L13" s="32">
        <f>G13+H13+I13+J13+K13</f>
        <v/>
      </c>
      <c r="M13" s="32">
        <f>M12+L13</f>
        <v/>
      </c>
      <c r="N13" s="33">
        <f>IF(L13&gt;0,A13,9999)</f>
        <v/>
      </c>
      <c r="O13" s="33">
        <f>IF(M13&gt;0,A13,9999)</f>
        <v/>
      </c>
    </row>
    <row r="14">
      <c r="A14" s="27" t="n">
        <v>10</v>
      </c>
      <c r="B14" s="28">
        <f>Premissas!$B$28+(Premissas!$B$29-Premissas!$B$28)*A14/36</f>
        <v/>
      </c>
      <c r="C14" s="29">
        <f>IF(A14-Premissas!$B$34&lt;Premissas!$B$31,0,Premissas!$B$30*B14/(1+EXP(-Premissas!$B$33*(A14-Premissas!$B$34-Premissas!$B$32))))</f>
        <v/>
      </c>
      <c r="D14" s="30">
        <f>MAX(0,C14-C13)</f>
        <v/>
      </c>
      <c r="E14" s="31">
        <f>C14*Premissas!$B$12*(1-Premissas!$B$52)</f>
        <v/>
      </c>
      <c r="F14" s="31">
        <f>IF(A14&gt;=Premissas!$B$38+Premissas!$B$34,Premissas!$B$37*(1-Premissas!$B$52),0)</f>
        <v/>
      </c>
      <c r="G14" s="32">
        <f>E14+F14</f>
        <v/>
      </c>
      <c r="H14" s="31">
        <f>-G14*Premissas!$B$53</f>
        <v/>
      </c>
      <c r="I14" s="31">
        <f>-(C14*Premissas!$B$19+D14*Premissas!$B$24)</f>
        <v/>
      </c>
      <c r="J14" s="31">
        <f>-IF(A14-Premissas!$B$34&lt;=2,Premissas!$B$41,IF(A14-Premissas!$B$34&lt;=5,Premissas!$B$42,IF(A14-Premissas!$B$34&lt;=8,Premissas!$B$43,Premissas!$B$44)))</f>
        <v/>
      </c>
      <c r="K14" s="31">
        <f>-IF(A14=1+Premissas!$B$34,Premissas!$B$47,IF(A14=3+Premissas!$B$34,Premissas!$B$48,IF(A14=6+Premissas!$B$34,Premissas!$B$49,0)))</f>
        <v/>
      </c>
      <c r="L14" s="32">
        <f>G14+H14+I14+J14+K14</f>
        <v/>
      </c>
      <c r="M14" s="32">
        <f>M13+L14</f>
        <v/>
      </c>
      <c r="N14" s="33">
        <f>IF(L14&gt;0,A14,9999)</f>
        <v/>
      </c>
      <c r="O14" s="33">
        <f>IF(M14&gt;0,A14,9999)</f>
        <v/>
      </c>
    </row>
    <row r="15">
      <c r="A15" s="27" t="n">
        <v>11</v>
      </c>
      <c r="B15" s="28">
        <f>Premissas!$B$28+(Premissas!$B$29-Premissas!$B$28)*A15/36</f>
        <v/>
      </c>
      <c r="C15" s="29">
        <f>IF(A15-Premissas!$B$34&lt;Premissas!$B$31,0,Premissas!$B$30*B15/(1+EXP(-Premissas!$B$33*(A15-Premissas!$B$34-Premissas!$B$32))))</f>
        <v/>
      </c>
      <c r="D15" s="30">
        <f>MAX(0,C15-C14)</f>
        <v/>
      </c>
      <c r="E15" s="31">
        <f>C15*Premissas!$B$12*(1-Premissas!$B$52)</f>
        <v/>
      </c>
      <c r="F15" s="31">
        <f>IF(A15&gt;=Premissas!$B$38+Premissas!$B$34,Premissas!$B$37*(1-Premissas!$B$52),0)</f>
        <v/>
      </c>
      <c r="G15" s="32">
        <f>E15+F15</f>
        <v/>
      </c>
      <c r="H15" s="31">
        <f>-G15*Premissas!$B$53</f>
        <v/>
      </c>
      <c r="I15" s="31">
        <f>-(C15*Premissas!$B$19+D15*Premissas!$B$24)</f>
        <v/>
      </c>
      <c r="J15" s="31">
        <f>-IF(A15-Premissas!$B$34&lt;=2,Premissas!$B$41,IF(A15-Premissas!$B$34&lt;=5,Premissas!$B$42,IF(A15-Premissas!$B$34&lt;=8,Premissas!$B$43,Premissas!$B$44)))</f>
        <v/>
      </c>
      <c r="K15" s="31">
        <f>-IF(A15=1+Premissas!$B$34,Premissas!$B$47,IF(A15=3+Premissas!$B$34,Premissas!$B$48,IF(A15=6+Premissas!$B$34,Premissas!$B$49,0)))</f>
        <v/>
      </c>
      <c r="L15" s="32">
        <f>G15+H15+I15+J15+K15</f>
        <v/>
      </c>
      <c r="M15" s="32">
        <f>M14+L15</f>
        <v/>
      </c>
      <c r="N15" s="33">
        <f>IF(L15&gt;0,A15,9999)</f>
        <v/>
      </c>
      <c r="O15" s="33">
        <f>IF(M15&gt;0,A15,9999)</f>
        <v/>
      </c>
    </row>
    <row r="16">
      <c r="A16" s="34" t="n">
        <v>12</v>
      </c>
      <c r="B16" s="35">
        <f>Premissas!$B$28+(Premissas!$B$29-Premissas!$B$28)*A16/36</f>
        <v/>
      </c>
      <c r="C16" s="36">
        <f>IF(A16-Premissas!$B$34&lt;Premissas!$B$31,0,Premissas!$B$30*B16/(1+EXP(-Premissas!$B$33*(A16-Premissas!$B$34-Premissas!$B$32))))</f>
        <v/>
      </c>
      <c r="D16" s="37">
        <f>MAX(0,C16-C15)</f>
        <v/>
      </c>
      <c r="E16" s="38">
        <f>C16*Premissas!$B$12*(1-Premissas!$B$52)</f>
        <v/>
      </c>
      <c r="F16" s="38">
        <f>IF(A16&gt;=Premissas!$B$38+Premissas!$B$34,Premissas!$B$37*(1-Premissas!$B$52),0)</f>
        <v/>
      </c>
      <c r="G16" s="19">
        <f>E16+F16</f>
        <v/>
      </c>
      <c r="H16" s="38">
        <f>-G16*Premissas!$B$53</f>
        <v/>
      </c>
      <c r="I16" s="38">
        <f>-(C16*Premissas!$B$19+D16*Premissas!$B$24)</f>
        <v/>
      </c>
      <c r="J16" s="38">
        <f>-IF(A16-Premissas!$B$34&lt;=2,Premissas!$B$41,IF(A16-Premissas!$B$34&lt;=5,Premissas!$B$42,IF(A16-Premissas!$B$34&lt;=8,Premissas!$B$43,Premissas!$B$44)))</f>
        <v/>
      </c>
      <c r="K16" s="38">
        <f>-IF(A16=1+Premissas!$B$34,Premissas!$B$47,IF(A16=3+Premissas!$B$34,Premissas!$B$48,IF(A16=6+Premissas!$B$34,Premissas!$B$49,0)))</f>
        <v/>
      </c>
      <c r="L16" s="19">
        <f>G16+H16+I16+J16+K16</f>
        <v/>
      </c>
      <c r="M16" s="19">
        <f>M15+L16</f>
        <v/>
      </c>
      <c r="N16" s="39">
        <f>IF(L16&gt;0,A16,9999)</f>
        <v/>
      </c>
      <c r="O16" s="39">
        <f>IF(M16&gt;0,A16,9999)</f>
        <v/>
      </c>
    </row>
    <row r="17">
      <c r="A17" s="27" t="n">
        <v>13</v>
      </c>
      <c r="B17" s="28">
        <f>Premissas!$B$28+(Premissas!$B$29-Premissas!$B$28)*A17/36</f>
        <v/>
      </c>
      <c r="C17" s="29">
        <f>IF(A17-Premissas!$B$34&lt;Premissas!$B$31,0,Premissas!$B$30*B17/(1+EXP(-Premissas!$B$33*(A17-Premissas!$B$34-Premissas!$B$32))))</f>
        <v/>
      </c>
      <c r="D17" s="30">
        <f>MAX(0,C17-C16)</f>
        <v/>
      </c>
      <c r="E17" s="31">
        <f>C17*Premissas!$B$12*(1-Premissas!$B$52)</f>
        <v/>
      </c>
      <c r="F17" s="31">
        <f>IF(A17&gt;=Premissas!$B$38+Premissas!$B$34,Premissas!$B$37*(1-Premissas!$B$52),0)</f>
        <v/>
      </c>
      <c r="G17" s="32">
        <f>E17+F17</f>
        <v/>
      </c>
      <c r="H17" s="31">
        <f>-G17*Premissas!$B$53</f>
        <v/>
      </c>
      <c r="I17" s="31">
        <f>-(C17*Premissas!$B$19+D17*Premissas!$B$24)</f>
        <v/>
      </c>
      <c r="J17" s="31">
        <f>-IF(A17-Premissas!$B$34&lt;=2,Premissas!$B$41,IF(A17-Premissas!$B$34&lt;=5,Premissas!$B$42,IF(A17-Premissas!$B$34&lt;=8,Premissas!$B$43,Premissas!$B$44)))</f>
        <v/>
      </c>
      <c r="K17" s="31">
        <f>-IF(A17=1+Premissas!$B$34,Premissas!$B$47,IF(A17=3+Premissas!$B$34,Premissas!$B$48,IF(A17=6+Premissas!$B$34,Premissas!$B$49,0)))</f>
        <v/>
      </c>
      <c r="L17" s="32">
        <f>G17+H17+I17+J17+K17</f>
        <v/>
      </c>
      <c r="M17" s="32">
        <f>M16+L17</f>
        <v/>
      </c>
      <c r="N17" s="33">
        <f>IF(L17&gt;0,A17,9999)</f>
        <v/>
      </c>
      <c r="O17" s="33">
        <f>IF(M17&gt;0,A17,9999)</f>
        <v/>
      </c>
    </row>
    <row r="18">
      <c r="A18" s="27" t="n">
        <v>14</v>
      </c>
      <c r="B18" s="28">
        <f>Premissas!$B$28+(Premissas!$B$29-Premissas!$B$28)*A18/36</f>
        <v/>
      </c>
      <c r="C18" s="29">
        <f>IF(A18-Premissas!$B$34&lt;Premissas!$B$31,0,Premissas!$B$30*B18/(1+EXP(-Premissas!$B$33*(A18-Premissas!$B$34-Premissas!$B$32))))</f>
        <v/>
      </c>
      <c r="D18" s="30">
        <f>MAX(0,C18-C17)</f>
        <v/>
      </c>
      <c r="E18" s="31">
        <f>C18*Premissas!$B$12*(1-Premissas!$B$52)</f>
        <v/>
      </c>
      <c r="F18" s="31">
        <f>IF(A18&gt;=Premissas!$B$38+Premissas!$B$34,Premissas!$B$37*(1-Premissas!$B$52),0)</f>
        <v/>
      </c>
      <c r="G18" s="32">
        <f>E18+F18</f>
        <v/>
      </c>
      <c r="H18" s="31">
        <f>-G18*Premissas!$B$53</f>
        <v/>
      </c>
      <c r="I18" s="31">
        <f>-(C18*Premissas!$B$19+D18*Premissas!$B$24)</f>
        <v/>
      </c>
      <c r="J18" s="31">
        <f>-IF(A18-Premissas!$B$34&lt;=2,Premissas!$B$41,IF(A18-Premissas!$B$34&lt;=5,Premissas!$B$42,IF(A18-Premissas!$B$34&lt;=8,Premissas!$B$43,Premissas!$B$44)))</f>
        <v/>
      </c>
      <c r="K18" s="31">
        <f>-IF(A18=1+Premissas!$B$34,Premissas!$B$47,IF(A18=3+Premissas!$B$34,Premissas!$B$48,IF(A18=6+Premissas!$B$34,Premissas!$B$49,0)))</f>
        <v/>
      </c>
      <c r="L18" s="32">
        <f>G18+H18+I18+J18+K18</f>
        <v/>
      </c>
      <c r="M18" s="32">
        <f>M17+L18</f>
        <v/>
      </c>
      <c r="N18" s="33">
        <f>IF(L18&gt;0,A18,9999)</f>
        <v/>
      </c>
      <c r="O18" s="33">
        <f>IF(M18&gt;0,A18,9999)</f>
        <v/>
      </c>
    </row>
    <row r="19">
      <c r="A19" s="27" t="n">
        <v>15</v>
      </c>
      <c r="B19" s="28">
        <f>Premissas!$B$28+(Premissas!$B$29-Premissas!$B$28)*A19/36</f>
        <v/>
      </c>
      <c r="C19" s="29">
        <f>IF(A19-Premissas!$B$34&lt;Premissas!$B$31,0,Premissas!$B$30*B19/(1+EXP(-Premissas!$B$33*(A19-Premissas!$B$34-Premissas!$B$32))))</f>
        <v/>
      </c>
      <c r="D19" s="30">
        <f>MAX(0,C19-C18)</f>
        <v/>
      </c>
      <c r="E19" s="31">
        <f>C19*Premissas!$B$12*(1-Premissas!$B$52)</f>
        <v/>
      </c>
      <c r="F19" s="31">
        <f>IF(A19&gt;=Premissas!$B$38+Premissas!$B$34,Premissas!$B$37*(1-Premissas!$B$52),0)</f>
        <v/>
      </c>
      <c r="G19" s="32">
        <f>E19+F19</f>
        <v/>
      </c>
      <c r="H19" s="31">
        <f>-G19*Premissas!$B$53</f>
        <v/>
      </c>
      <c r="I19" s="31">
        <f>-(C19*Premissas!$B$19+D19*Premissas!$B$24)</f>
        <v/>
      </c>
      <c r="J19" s="31">
        <f>-IF(A19-Premissas!$B$34&lt;=2,Premissas!$B$41,IF(A19-Premissas!$B$34&lt;=5,Premissas!$B$42,IF(A19-Premissas!$B$34&lt;=8,Premissas!$B$43,Premissas!$B$44)))</f>
        <v/>
      </c>
      <c r="K19" s="31">
        <f>-IF(A19=1+Premissas!$B$34,Premissas!$B$47,IF(A19=3+Premissas!$B$34,Premissas!$B$48,IF(A19=6+Premissas!$B$34,Premissas!$B$49,0)))</f>
        <v/>
      </c>
      <c r="L19" s="32">
        <f>G19+H19+I19+J19+K19</f>
        <v/>
      </c>
      <c r="M19" s="32">
        <f>M18+L19</f>
        <v/>
      </c>
      <c r="N19" s="33">
        <f>IF(L19&gt;0,A19,9999)</f>
        <v/>
      </c>
      <c r="O19" s="33">
        <f>IF(M19&gt;0,A19,9999)</f>
        <v/>
      </c>
    </row>
    <row r="20">
      <c r="A20" s="27" t="n">
        <v>16</v>
      </c>
      <c r="B20" s="28">
        <f>Premissas!$B$28+(Premissas!$B$29-Premissas!$B$28)*A20/36</f>
        <v/>
      </c>
      <c r="C20" s="29">
        <f>IF(A20-Premissas!$B$34&lt;Premissas!$B$31,0,Premissas!$B$30*B20/(1+EXP(-Premissas!$B$33*(A20-Premissas!$B$34-Premissas!$B$32))))</f>
        <v/>
      </c>
      <c r="D20" s="30">
        <f>MAX(0,C20-C19)</f>
        <v/>
      </c>
      <c r="E20" s="31">
        <f>C20*Premissas!$B$12*(1-Premissas!$B$52)</f>
        <v/>
      </c>
      <c r="F20" s="31">
        <f>IF(A20&gt;=Premissas!$B$38+Premissas!$B$34,Premissas!$B$37*(1-Premissas!$B$52),0)</f>
        <v/>
      </c>
      <c r="G20" s="32">
        <f>E20+F20</f>
        <v/>
      </c>
      <c r="H20" s="31">
        <f>-G20*Premissas!$B$53</f>
        <v/>
      </c>
      <c r="I20" s="31">
        <f>-(C20*Premissas!$B$19+D20*Premissas!$B$24)</f>
        <v/>
      </c>
      <c r="J20" s="31">
        <f>-IF(A20-Premissas!$B$34&lt;=2,Premissas!$B$41,IF(A20-Premissas!$B$34&lt;=5,Premissas!$B$42,IF(A20-Premissas!$B$34&lt;=8,Premissas!$B$43,Premissas!$B$44)))</f>
        <v/>
      </c>
      <c r="K20" s="31">
        <f>-IF(A20=1+Premissas!$B$34,Premissas!$B$47,IF(A20=3+Premissas!$B$34,Premissas!$B$48,IF(A20=6+Premissas!$B$34,Premissas!$B$49,0)))</f>
        <v/>
      </c>
      <c r="L20" s="32">
        <f>G20+H20+I20+J20+K20</f>
        <v/>
      </c>
      <c r="M20" s="32">
        <f>M19+L20</f>
        <v/>
      </c>
      <c r="N20" s="33">
        <f>IF(L20&gt;0,A20,9999)</f>
        <v/>
      </c>
      <c r="O20" s="33">
        <f>IF(M20&gt;0,A20,9999)</f>
        <v/>
      </c>
    </row>
    <row r="21">
      <c r="A21" s="27" t="n">
        <v>17</v>
      </c>
      <c r="B21" s="28">
        <f>Premissas!$B$28+(Premissas!$B$29-Premissas!$B$28)*A21/36</f>
        <v/>
      </c>
      <c r="C21" s="29">
        <f>IF(A21-Premissas!$B$34&lt;Premissas!$B$31,0,Premissas!$B$30*B21/(1+EXP(-Premissas!$B$33*(A21-Premissas!$B$34-Premissas!$B$32))))</f>
        <v/>
      </c>
      <c r="D21" s="30">
        <f>MAX(0,C21-C20)</f>
        <v/>
      </c>
      <c r="E21" s="31">
        <f>C21*Premissas!$B$12*(1-Premissas!$B$52)</f>
        <v/>
      </c>
      <c r="F21" s="31">
        <f>IF(A21&gt;=Premissas!$B$38+Premissas!$B$34,Premissas!$B$37*(1-Premissas!$B$52),0)</f>
        <v/>
      </c>
      <c r="G21" s="32">
        <f>E21+F21</f>
        <v/>
      </c>
      <c r="H21" s="31">
        <f>-G21*Premissas!$B$53</f>
        <v/>
      </c>
      <c r="I21" s="31">
        <f>-(C21*Premissas!$B$19+D21*Premissas!$B$24)</f>
        <v/>
      </c>
      <c r="J21" s="31">
        <f>-IF(A21-Premissas!$B$34&lt;=2,Premissas!$B$41,IF(A21-Premissas!$B$34&lt;=5,Premissas!$B$42,IF(A21-Premissas!$B$34&lt;=8,Premissas!$B$43,Premissas!$B$44)))</f>
        <v/>
      </c>
      <c r="K21" s="31">
        <f>-IF(A21=1+Premissas!$B$34,Premissas!$B$47,IF(A21=3+Premissas!$B$34,Premissas!$B$48,IF(A21=6+Premissas!$B$34,Premissas!$B$49,0)))</f>
        <v/>
      </c>
      <c r="L21" s="32">
        <f>G21+H21+I21+J21+K21</f>
        <v/>
      </c>
      <c r="M21" s="32">
        <f>M20+L21</f>
        <v/>
      </c>
      <c r="N21" s="33">
        <f>IF(L21&gt;0,A21,9999)</f>
        <v/>
      </c>
      <c r="O21" s="33">
        <f>IF(M21&gt;0,A21,9999)</f>
        <v/>
      </c>
    </row>
    <row r="22">
      <c r="A22" s="27" t="n">
        <v>18</v>
      </c>
      <c r="B22" s="28">
        <f>Premissas!$B$28+(Premissas!$B$29-Premissas!$B$28)*A22/36</f>
        <v/>
      </c>
      <c r="C22" s="29">
        <f>IF(A22-Premissas!$B$34&lt;Premissas!$B$31,0,Premissas!$B$30*B22/(1+EXP(-Premissas!$B$33*(A22-Premissas!$B$34-Premissas!$B$32))))</f>
        <v/>
      </c>
      <c r="D22" s="30">
        <f>MAX(0,C22-C21)</f>
        <v/>
      </c>
      <c r="E22" s="31">
        <f>C22*Premissas!$B$12*(1-Premissas!$B$52)</f>
        <v/>
      </c>
      <c r="F22" s="31">
        <f>IF(A22&gt;=Premissas!$B$38+Premissas!$B$34,Premissas!$B$37*(1-Premissas!$B$52),0)</f>
        <v/>
      </c>
      <c r="G22" s="32">
        <f>E22+F22</f>
        <v/>
      </c>
      <c r="H22" s="31">
        <f>-G22*Premissas!$B$53</f>
        <v/>
      </c>
      <c r="I22" s="31">
        <f>-(C22*Premissas!$B$19+D22*Premissas!$B$24)</f>
        <v/>
      </c>
      <c r="J22" s="31">
        <f>-IF(A22-Premissas!$B$34&lt;=2,Premissas!$B$41,IF(A22-Premissas!$B$34&lt;=5,Premissas!$B$42,IF(A22-Premissas!$B$34&lt;=8,Premissas!$B$43,Premissas!$B$44)))</f>
        <v/>
      </c>
      <c r="K22" s="31">
        <f>-IF(A22=1+Premissas!$B$34,Premissas!$B$47,IF(A22=3+Premissas!$B$34,Premissas!$B$48,IF(A22=6+Premissas!$B$34,Premissas!$B$49,0)))</f>
        <v/>
      </c>
      <c r="L22" s="32">
        <f>G22+H22+I22+J22+K22</f>
        <v/>
      </c>
      <c r="M22" s="32">
        <f>M21+L22</f>
        <v/>
      </c>
      <c r="N22" s="33">
        <f>IF(L22&gt;0,A22,9999)</f>
        <v/>
      </c>
      <c r="O22" s="33">
        <f>IF(M22&gt;0,A22,9999)</f>
        <v/>
      </c>
    </row>
    <row r="23">
      <c r="A23" s="27" t="n">
        <v>19</v>
      </c>
      <c r="B23" s="28">
        <f>Premissas!$B$28+(Premissas!$B$29-Premissas!$B$28)*A23/36</f>
        <v/>
      </c>
      <c r="C23" s="29">
        <f>IF(A23-Premissas!$B$34&lt;Premissas!$B$31,0,Premissas!$B$30*B23/(1+EXP(-Premissas!$B$33*(A23-Premissas!$B$34-Premissas!$B$32))))</f>
        <v/>
      </c>
      <c r="D23" s="30">
        <f>MAX(0,C23-C22)</f>
        <v/>
      </c>
      <c r="E23" s="31">
        <f>C23*Premissas!$B$12*(1-Premissas!$B$52)</f>
        <v/>
      </c>
      <c r="F23" s="31">
        <f>IF(A23&gt;=Premissas!$B$38+Premissas!$B$34,Premissas!$B$37*(1-Premissas!$B$52),0)</f>
        <v/>
      </c>
      <c r="G23" s="32">
        <f>E23+F23</f>
        <v/>
      </c>
      <c r="H23" s="31">
        <f>-G23*Premissas!$B$53</f>
        <v/>
      </c>
      <c r="I23" s="31">
        <f>-(C23*Premissas!$B$19+D23*Premissas!$B$24)</f>
        <v/>
      </c>
      <c r="J23" s="31">
        <f>-IF(A23-Premissas!$B$34&lt;=2,Premissas!$B$41,IF(A23-Premissas!$B$34&lt;=5,Premissas!$B$42,IF(A23-Premissas!$B$34&lt;=8,Premissas!$B$43,Premissas!$B$44)))</f>
        <v/>
      </c>
      <c r="K23" s="31">
        <f>-IF(A23=1+Premissas!$B$34,Premissas!$B$47,IF(A23=3+Premissas!$B$34,Premissas!$B$48,IF(A23=6+Premissas!$B$34,Premissas!$B$49,0)))</f>
        <v/>
      </c>
      <c r="L23" s="32">
        <f>G23+H23+I23+J23+K23</f>
        <v/>
      </c>
      <c r="M23" s="32">
        <f>M22+L23</f>
        <v/>
      </c>
      <c r="N23" s="33">
        <f>IF(L23&gt;0,A23,9999)</f>
        <v/>
      </c>
      <c r="O23" s="33">
        <f>IF(M23&gt;0,A23,9999)</f>
        <v/>
      </c>
    </row>
    <row r="24">
      <c r="A24" s="27" t="n">
        <v>20</v>
      </c>
      <c r="B24" s="28">
        <f>Premissas!$B$28+(Premissas!$B$29-Premissas!$B$28)*A24/36</f>
        <v/>
      </c>
      <c r="C24" s="29">
        <f>IF(A24-Premissas!$B$34&lt;Premissas!$B$31,0,Premissas!$B$30*B24/(1+EXP(-Premissas!$B$33*(A24-Premissas!$B$34-Premissas!$B$32))))</f>
        <v/>
      </c>
      <c r="D24" s="30">
        <f>MAX(0,C24-C23)</f>
        <v/>
      </c>
      <c r="E24" s="31">
        <f>C24*Premissas!$B$12*(1-Premissas!$B$52)</f>
        <v/>
      </c>
      <c r="F24" s="31">
        <f>IF(A24&gt;=Premissas!$B$38+Premissas!$B$34,Premissas!$B$37*(1-Premissas!$B$52),0)</f>
        <v/>
      </c>
      <c r="G24" s="32">
        <f>E24+F24</f>
        <v/>
      </c>
      <c r="H24" s="31">
        <f>-G24*Premissas!$B$53</f>
        <v/>
      </c>
      <c r="I24" s="31">
        <f>-(C24*Premissas!$B$19+D24*Premissas!$B$24)</f>
        <v/>
      </c>
      <c r="J24" s="31">
        <f>-IF(A24-Premissas!$B$34&lt;=2,Premissas!$B$41,IF(A24-Premissas!$B$34&lt;=5,Premissas!$B$42,IF(A24-Premissas!$B$34&lt;=8,Premissas!$B$43,Premissas!$B$44)))</f>
        <v/>
      </c>
      <c r="K24" s="31">
        <f>-IF(A24=1+Premissas!$B$34,Premissas!$B$47,IF(A24=3+Premissas!$B$34,Premissas!$B$48,IF(A24=6+Premissas!$B$34,Premissas!$B$49,0)))</f>
        <v/>
      </c>
      <c r="L24" s="32">
        <f>G24+H24+I24+J24+K24</f>
        <v/>
      </c>
      <c r="M24" s="32">
        <f>M23+L24</f>
        <v/>
      </c>
      <c r="N24" s="33">
        <f>IF(L24&gt;0,A24,9999)</f>
        <v/>
      </c>
      <c r="O24" s="33">
        <f>IF(M24&gt;0,A24,9999)</f>
        <v/>
      </c>
    </row>
    <row r="25">
      <c r="A25" s="27" t="n">
        <v>21</v>
      </c>
      <c r="B25" s="28">
        <f>Premissas!$B$28+(Premissas!$B$29-Premissas!$B$28)*A25/36</f>
        <v/>
      </c>
      <c r="C25" s="29">
        <f>IF(A25-Premissas!$B$34&lt;Premissas!$B$31,0,Premissas!$B$30*B25/(1+EXP(-Premissas!$B$33*(A25-Premissas!$B$34-Premissas!$B$32))))</f>
        <v/>
      </c>
      <c r="D25" s="30">
        <f>MAX(0,C25-C24)</f>
        <v/>
      </c>
      <c r="E25" s="31">
        <f>C25*Premissas!$B$12*(1-Premissas!$B$52)</f>
        <v/>
      </c>
      <c r="F25" s="31">
        <f>IF(A25&gt;=Premissas!$B$38+Premissas!$B$34,Premissas!$B$37*(1-Premissas!$B$52),0)</f>
        <v/>
      </c>
      <c r="G25" s="32">
        <f>E25+F25</f>
        <v/>
      </c>
      <c r="H25" s="31">
        <f>-G25*Premissas!$B$53</f>
        <v/>
      </c>
      <c r="I25" s="31">
        <f>-(C25*Premissas!$B$19+D25*Premissas!$B$24)</f>
        <v/>
      </c>
      <c r="J25" s="31">
        <f>-IF(A25-Premissas!$B$34&lt;=2,Premissas!$B$41,IF(A25-Premissas!$B$34&lt;=5,Premissas!$B$42,IF(A25-Premissas!$B$34&lt;=8,Premissas!$B$43,Premissas!$B$44)))</f>
        <v/>
      </c>
      <c r="K25" s="31">
        <f>-IF(A25=1+Premissas!$B$34,Premissas!$B$47,IF(A25=3+Premissas!$B$34,Premissas!$B$48,IF(A25=6+Premissas!$B$34,Premissas!$B$49,0)))</f>
        <v/>
      </c>
      <c r="L25" s="32">
        <f>G25+H25+I25+J25+K25</f>
        <v/>
      </c>
      <c r="M25" s="32">
        <f>M24+L25</f>
        <v/>
      </c>
      <c r="N25" s="33">
        <f>IF(L25&gt;0,A25,9999)</f>
        <v/>
      </c>
      <c r="O25" s="33">
        <f>IF(M25&gt;0,A25,9999)</f>
        <v/>
      </c>
    </row>
    <row r="26">
      <c r="A26" s="27" t="n">
        <v>22</v>
      </c>
      <c r="B26" s="28">
        <f>Premissas!$B$28+(Premissas!$B$29-Premissas!$B$28)*A26/36</f>
        <v/>
      </c>
      <c r="C26" s="29">
        <f>IF(A26-Premissas!$B$34&lt;Premissas!$B$31,0,Premissas!$B$30*B26/(1+EXP(-Premissas!$B$33*(A26-Premissas!$B$34-Premissas!$B$32))))</f>
        <v/>
      </c>
      <c r="D26" s="30">
        <f>MAX(0,C26-C25)</f>
        <v/>
      </c>
      <c r="E26" s="31">
        <f>C26*Premissas!$B$12*(1-Premissas!$B$52)</f>
        <v/>
      </c>
      <c r="F26" s="31">
        <f>IF(A26&gt;=Premissas!$B$38+Premissas!$B$34,Premissas!$B$37*(1-Premissas!$B$52),0)</f>
        <v/>
      </c>
      <c r="G26" s="32">
        <f>E26+F26</f>
        <v/>
      </c>
      <c r="H26" s="31">
        <f>-G26*Premissas!$B$53</f>
        <v/>
      </c>
      <c r="I26" s="31">
        <f>-(C26*Premissas!$B$19+D26*Premissas!$B$24)</f>
        <v/>
      </c>
      <c r="J26" s="31">
        <f>-IF(A26-Premissas!$B$34&lt;=2,Premissas!$B$41,IF(A26-Premissas!$B$34&lt;=5,Premissas!$B$42,IF(A26-Premissas!$B$34&lt;=8,Premissas!$B$43,Premissas!$B$44)))</f>
        <v/>
      </c>
      <c r="K26" s="31">
        <f>-IF(A26=1+Premissas!$B$34,Premissas!$B$47,IF(A26=3+Premissas!$B$34,Premissas!$B$48,IF(A26=6+Premissas!$B$34,Premissas!$B$49,0)))</f>
        <v/>
      </c>
      <c r="L26" s="32">
        <f>G26+H26+I26+J26+K26</f>
        <v/>
      </c>
      <c r="M26" s="32">
        <f>M25+L26</f>
        <v/>
      </c>
      <c r="N26" s="33">
        <f>IF(L26&gt;0,A26,9999)</f>
        <v/>
      </c>
      <c r="O26" s="33">
        <f>IF(M26&gt;0,A26,9999)</f>
        <v/>
      </c>
    </row>
    <row r="27">
      <c r="A27" s="27" t="n">
        <v>23</v>
      </c>
      <c r="B27" s="28">
        <f>Premissas!$B$28+(Premissas!$B$29-Premissas!$B$28)*A27/36</f>
        <v/>
      </c>
      <c r="C27" s="29">
        <f>IF(A27-Premissas!$B$34&lt;Premissas!$B$31,0,Premissas!$B$30*B27/(1+EXP(-Premissas!$B$33*(A27-Premissas!$B$34-Premissas!$B$32))))</f>
        <v/>
      </c>
      <c r="D27" s="30">
        <f>MAX(0,C27-C26)</f>
        <v/>
      </c>
      <c r="E27" s="31">
        <f>C27*Premissas!$B$12*(1-Premissas!$B$52)</f>
        <v/>
      </c>
      <c r="F27" s="31">
        <f>IF(A27&gt;=Premissas!$B$38+Premissas!$B$34,Premissas!$B$37*(1-Premissas!$B$52),0)</f>
        <v/>
      </c>
      <c r="G27" s="32">
        <f>E27+F27</f>
        <v/>
      </c>
      <c r="H27" s="31">
        <f>-G27*Premissas!$B$53</f>
        <v/>
      </c>
      <c r="I27" s="31">
        <f>-(C27*Premissas!$B$19+D27*Premissas!$B$24)</f>
        <v/>
      </c>
      <c r="J27" s="31">
        <f>-IF(A27-Premissas!$B$34&lt;=2,Premissas!$B$41,IF(A27-Premissas!$B$34&lt;=5,Premissas!$B$42,IF(A27-Premissas!$B$34&lt;=8,Premissas!$B$43,Premissas!$B$44)))</f>
        <v/>
      </c>
      <c r="K27" s="31">
        <f>-IF(A27=1+Premissas!$B$34,Premissas!$B$47,IF(A27=3+Premissas!$B$34,Premissas!$B$48,IF(A27=6+Premissas!$B$34,Premissas!$B$49,0)))</f>
        <v/>
      </c>
      <c r="L27" s="32">
        <f>G27+H27+I27+J27+K27</f>
        <v/>
      </c>
      <c r="M27" s="32">
        <f>M26+L27</f>
        <v/>
      </c>
      <c r="N27" s="33">
        <f>IF(L27&gt;0,A27,9999)</f>
        <v/>
      </c>
      <c r="O27" s="33">
        <f>IF(M27&gt;0,A27,9999)</f>
        <v/>
      </c>
    </row>
    <row r="28">
      <c r="A28" s="34" t="n">
        <v>24</v>
      </c>
      <c r="B28" s="35">
        <f>Premissas!$B$28+(Premissas!$B$29-Premissas!$B$28)*A28/36</f>
        <v/>
      </c>
      <c r="C28" s="36">
        <f>IF(A28-Premissas!$B$34&lt;Premissas!$B$31,0,Premissas!$B$30*B28/(1+EXP(-Premissas!$B$33*(A28-Premissas!$B$34-Premissas!$B$32))))</f>
        <v/>
      </c>
      <c r="D28" s="37">
        <f>MAX(0,C28-C27)</f>
        <v/>
      </c>
      <c r="E28" s="38">
        <f>C28*Premissas!$B$12*(1-Premissas!$B$52)</f>
        <v/>
      </c>
      <c r="F28" s="38">
        <f>IF(A28&gt;=Premissas!$B$38+Premissas!$B$34,Premissas!$B$37*(1-Premissas!$B$52),0)</f>
        <v/>
      </c>
      <c r="G28" s="19">
        <f>E28+F28</f>
        <v/>
      </c>
      <c r="H28" s="38">
        <f>-G28*Premissas!$B$53</f>
        <v/>
      </c>
      <c r="I28" s="38">
        <f>-(C28*Premissas!$B$19+D28*Premissas!$B$24)</f>
        <v/>
      </c>
      <c r="J28" s="38">
        <f>-IF(A28-Premissas!$B$34&lt;=2,Premissas!$B$41,IF(A28-Premissas!$B$34&lt;=5,Premissas!$B$42,IF(A28-Premissas!$B$34&lt;=8,Premissas!$B$43,Premissas!$B$44)))</f>
        <v/>
      </c>
      <c r="K28" s="38">
        <f>-IF(A28=1+Premissas!$B$34,Premissas!$B$47,IF(A28=3+Premissas!$B$34,Premissas!$B$48,IF(A28=6+Premissas!$B$34,Premissas!$B$49,0)))</f>
        <v/>
      </c>
      <c r="L28" s="19">
        <f>G28+H28+I28+J28+K28</f>
        <v/>
      </c>
      <c r="M28" s="19">
        <f>M27+L28</f>
        <v/>
      </c>
      <c r="N28" s="39">
        <f>IF(L28&gt;0,A28,9999)</f>
        <v/>
      </c>
      <c r="O28" s="39">
        <f>IF(M28&gt;0,A28,9999)</f>
        <v/>
      </c>
    </row>
    <row r="29">
      <c r="A29" s="27" t="n">
        <v>25</v>
      </c>
      <c r="B29" s="28">
        <f>Premissas!$B$28+(Premissas!$B$29-Premissas!$B$28)*A29/36</f>
        <v/>
      </c>
      <c r="C29" s="29">
        <f>IF(A29-Premissas!$B$34&lt;Premissas!$B$31,0,Premissas!$B$30*B29/(1+EXP(-Premissas!$B$33*(A29-Premissas!$B$34-Premissas!$B$32))))</f>
        <v/>
      </c>
      <c r="D29" s="30">
        <f>MAX(0,C29-C28)</f>
        <v/>
      </c>
      <c r="E29" s="31">
        <f>C29*Premissas!$B$12*(1-Premissas!$B$52)</f>
        <v/>
      </c>
      <c r="F29" s="31">
        <f>IF(A29&gt;=Premissas!$B$38+Premissas!$B$34,Premissas!$B$37*(1-Premissas!$B$52),0)</f>
        <v/>
      </c>
      <c r="G29" s="32">
        <f>E29+F29</f>
        <v/>
      </c>
      <c r="H29" s="31">
        <f>-G29*Premissas!$B$53</f>
        <v/>
      </c>
      <c r="I29" s="31">
        <f>-(C29*Premissas!$B$19+D29*Premissas!$B$24)</f>
        <v/>
      </c>
      <c r="J29" s="31">
        <f>-IF(A29-Premissas!$B$34&lt;=2,Premissas!$B$41,IF(A29-Premissas!$B$34&lt;=5,Premissas!$B$42,IF(A29-Premissas!$B$34&lt;=8,Premissas!$B$43,Premissas!$B$44)))</f>
        <v/>
      </c>
      <c r="K29" s="31">
        <f>-IF(A29=1+Premissas!$B$34,Premissas!$B$47,IF(A29=3+Premissas!$B$34,Premissas!$B$48,IF(A29=6+Premissas!$B$34,Premissas!$B$49,0)))</f>
        <v/>
      </c>
      <c r="L29" s="32">
        <f>G29+H29+I29+J29+K29</f>
        <v/>
      </c>
      <c r="M29" s="32">
        <f>M28+L29</f>
        <v/>
      </c>
      <c r="N29" s="33">
        <f>IF(L29&gt;0,A29,9999)</f>
        <v/>
      </c>
      <c r="O29" s="33">
        <f>IF(M29&gt;0,A29,9999)</f>
        <v/>
      </c>
    </row>
    <row r="30">
      <c r="A30" s="27" t="n">
        <v>26</v>
      </c>
      <c r="B30" s="28">
        <f>Premissas!$B$28+(Premissas!$B$29-Premissas!$B$28)*A30/36</f>
        <v/>
      </c>
      <c r="C30" s="29">
        <f>IF(A30-Premissas!$B$34&lt;Premissas!$B$31,0,Premissas!$B$30*B30/(1+EXP(-Premissas!$B$33*(A30-Premissas!$B$34-Premissas!$B$32))))</f>
        <v/>
      </c>
      <c r="D30" s="30">
        <f>MAX(0,C30-C29)</f>
        <v/>
      </c>
      <c r="E30" s="31">
        <f>C30*Premissas!$B$12*(1-Premissas!$B$52)</f>
        <v/>
      </c>
      <c r="F30" s="31">
        <f>IF(A30&gt;=Premissas!$B$38+Premissas!$B$34,Premissas!$B$37*(1-Premissas!$B$52),0)</f>
        <v/>
      </c>
      <c r="G30" s="32">
        <f>E30+F30</f>
        <v/>
      </c>
      <c r="H30" s="31">
        <f>-G30*Premissas!$B$53</f>
        <v/>
      </c>
      <c r="I30" s="31">
        <f>-(C30*Premissas!$B$19+D30*Premissas!$B$24)</f>
        <v/>
      </c>
      <c r="J30" s="31">
        <f>-IF(A30-Premissas!$B$34&lt;=2,Premissas!$B$41,IF(A30-Premissas!$B$34&lt;=5,Premissas!$B$42,IF(A30-Premissas!$B$34&lt;=8,Premissas!$B$43,Premissas!$B$44)))</f>
        <v/>
      </c>
      <c r="K30" s="31">
        <f>-IF(A30=1+Premissas!$B$34,Premissas!$B$47,IF(A30=3+Premissas!$B$34,Premissas!$B$48,IF(A30=6+Premissas!$B$34,Premissas!$B$49,0)))</f>
        <v/>
      </c>
      <c r="L30" s="32">
        <f>G30+H30+I30+J30+K30</f>
        <v/>
      </c>
      <c r="M30" s="32">
        <f>M29+L30</f>
        <v/>
      </c>
      <c r="N30" s="33">
        <f>IF(L30&gt;0,A30,9999)</f>
        <v/>
      </c>
      <c r="O30" s="33">
        <f>IF(M30&gt;0,A30,9999)</f>
        <v/>
      </c>
    </row>
    <row r="31">
      <c r="A31" s="27" t="n">
        <v>27</v>
      </c>
      <c r="B31" s="28">
        <f>Premissas!$B$28+(Premissas!$B$29-Premissas!$B$28)*A31/36</f>
        <v/>
      </c>
      <c r="C31" s="29">
        <f>IF(A31-Premissas!$B$34&lt;Premissas!$B$31,0,Premissas!$B$30*B31/(1+EXP(-Premissas!$B$33*(A31-Premissas!$B$34-Premissas!$B$32))))</f>
        <v/>
      </c>
      <c r="D31" s="30">
        <f>MAX(0,C31-C30)</f>
        <v/>
      </c>
      <c r="E31" s="31">
        <f>C31*Premissas!$B$12*(1-Premissas!$B$52)</f>
        <v/>
      </c>
      <c r="F31" s="31">
        <f>IF(A31&gt;=Premissas!$B$38+Premissas!$B$34,Premissas!$B$37*(1-Premissas!$B$52),0)</f>
        <v/>
      </c>
      <c r="G31" s="32">
        <f>E31+F31</f>
        <v/>
      </c>
      <c r="H31" s="31">
        <f>-G31*Premissas!$B$53</f>
        <v/>
      </c>
      <c r="I31" s="31">
        <f>-(C31*Premissas!$B$19+D31*Premissas!$B$24)</f>
        <v/>
      </c>
      <c r="J31" s="31">
        <f>-IF(A31-Premissas!$B$34&lt;=2,Premissas!$B$41,IF(A31-Premissas!$B$34&lt;=5,Premissas!$B$42,IF(A31-Premissas!$B$34&lt;=8,Premissas!$B$43,Premissas!$B$44)))</f>
        <v/>
      </c>
      <c r="K31" s="31">
        <f>-IF(A31=1+Premissas!$B$34,Premissas!$B$47,IF(A31=3+Premissas!$B$34,Premissas!$B$48,IF(A31=6+Premissas!$B$34,Premissas!$B$49,0)))</f>
        <v/>
      </c>
      <c r="L31" s="32">
        <f>G31+H31+I31+J31+K31</f>
        <v/>
      </c>
      <c r="M31" s="32">
        <f>M30+L31</f>
        <v/>
      </c>
      <c r="N31" s="33">
        <f>IF(L31&gt;0,A31,9999)</f>
        <v/>
      </c>
      <c r="O31" s="33">
        <f>IF(M31&gt;0,A31,9999)</f>
        <v/>
      </c>
    </row>
    <row r="32">
      <c r="A32" s="27" t="n">
        <v>28</v>
      </c>
      <c r="B32" s="28">
        <f>Premissas!$B$28+(Premissas!$B$29-Premissas!$B$28)*A32/36</f>
        <v/>
      </c>
      <c r="C32" s="29">
        <f>IF(A32-Premissas!$B$34&lt;Premissas!$B$31,0,Premissas!$B$30*B32/(1+EXP(-Premissas!$B$33*(A32-Premissas!$B$34-Premissas!$B$32))))</f>
        <v/>
      </c>
      <c r="D32" s="30">
        <f>MAX(0,C32-C31)</f>
        <v/>
      </c>
      <c r="E32" s="31">
        <f>C32*Premissas!$B$12*(1-Premissas!$B$52)</f>
        <v/>
      </c>
      <c r="F32" s="31">
        <f>IF(A32&gt;=Premissas!$B$38+Premissas!$B$34,Premissas!$B$37*(1-Premissas!$B$52),0)</f>
        <v/>
      </c>
      <c r="G32" s="32">
        <f>E32+F32</f>
        <v/>
      </c>
      <c r="H32" s="31">
        <f>-G32*Premissas!$B$53</f>
        <v/>
      </c>
      <c r="I32" s="31">
        <f>-(C32*Premissas!$B$19+D32*Premissas!$B$24)</f>
        <v/>
      </c>
      <c r="J32" s="31">
        <f>-IF(A32-Premissas!$B$34&lt;=2,Premissas!$B$41,IF(A32-Premissas!$B$34&lt;=5,Premissas!$B$42,IF(A32-Premissas!$B$34&lt;=8,Premissas!$B$43,Premissas!$B$44)))</f>
        <v/>
      </c>
      <c r="K32" s="31">
        <f>-IF(A32=1+Premissas!$B$34,Premissas!$B$47,IF(A32=3+Premissas!$B$34,Premissas!$B$48,IF(A32=6+Premissas!$B$34,Premissas!$B$49,0)))</f>
        <v/>
      </c>
      <c r="L32" s="32">
        <f>G32+H32+I32+J32+K32</f>
        <v/>
      </c>
      <c r="M32" s="32">
        <f>M31+L32</f>
        <v/>
      </c>
      <c r="N32" s="33">
        <f>IF(L32&gt;0,A32,9999)</f>
        <v/>
      </c>
      <c r="O32" s="33">
        <f>IF(M32&gt;0,A32,9999)</f>
        <v/>
      </c>
    </row>
    <row r="33">
      <c r="A33" s="27" t="n">
        <v>29</v>
      </c>
      <c r="B33" s="28">
        <f>Premissas!$B$28+(Premissas!$B$29-Premissas!$B$28)*A33/36</f>
        <v/>
      </c>
      <c r="C33" s="29">
        <f>IF(A33-Premissas!$B$34&lt;Premissas!$B$31,0,Premissas!$B$30*B33/(1+EXP(-Premissas!$B$33*(A33-Premissas!$B$34-Premissas!$B$32))))</f>
        <v/>
      </c>
      <c r="D33" s="30">
        <f>MAX(0,C33-C32)</f>
        <v/>
      </c>
      <c r="E33" s="31">
        <f>C33*Premissas!$B$12*(1-Premissas!$B$52)</f>
        <v/>
      </c>
      <c r="F33" s="31">
        <f>IF(A33&gt;=Premissas!$B$38+Premissas!$B$34,Premissas!$B$37*(1-Premissas!$B$52),0)</f>
        <v/>
      </c>
      <c r="G33" s="32">
        <f>E33+F33</f>
        <v/>
      </c>
      <c r="H33" s="31">
        <f>-G33*Premissas!$B$53</f>
        <v/>
      </c>
      <c r="I33" s="31">
        <f>-(C33*Premissas!$B$19+D33*Premissas!$B$24)</f>
        <v/>
      </c>
      <c r="J33" s="31">
        <f>-IF(A33-Premissas!$B$34&lt;=2,Premissas!$B$41,IF(A33-Premissas!$B$34&lt;=5,Premissas!$B$42,IF(A33-Premissas!$B$34&lt;=8,Premissas!$B$43,Premissas!$B$44)))</f>
        <v/>
      </c>
      <c r="K33" s="31">
        <f>-IF(A33=1+Premissas!$B$34,Premissas!$B$47,IF(A33=3+Premissas!$B$34,Premissas!$B$48,IF(A33=6+Premissas!$B$34,Premissas!$B$49,0)))</f>
        <v/>
      </c>
      <c r="L33" s="32">
        <f>G33+H33+I33+J33+K33</f>
        <v/>
      </c>
      <c r="M33" s="32">
        <f>M32+L33</f>
        <v/>
      </c>
      <c r="N33" s="33">
        <f>IF(L33&gt;0,A33,9999)</f>
        <v/>
      </c>
      <c r="O33" s="33">
        <f>IF(M33&gt;0,A33,9999)</f>
        <v/>
      </c>
    </row>
    <row r="34">
      <c r="A34" s="27" t="n">
        <v>30</v>
      </c>
      <c r="B34" s="28">
        <f>Premissas!$B$28+(Premissas!$B$29-Premissas!$B$28)*A34/36</f>
        <v/>
      </c>
      <c r="C34" s="29">
        <f>IF(A34-Premissas!$B$34&lt;Premissas!$B$31,0,Premissas!$B$30*B34/(1+EXP(-Premissas!$B$33*(A34-Premissas!$B$34-Premissas!$B$32))))</f>
        <v/>
      </c>
      <c r="D34" s="30">
        <f>MAX(0,C34-C33)</f>
        <v/>
      </c>
      <c r="E34" s="31">
        <f>C34*Premissas!$B$12*(1-Premissas!$B$52)</f>
        <v/>
      </c>
      <c r="F34" s="31">
        <f>IF(A34&gt;=Premissas!$B$38+Premissas!$B$34,Premissas!$B$37*(1-Premissas!$B$52),0)</f>
        <v/>
      </c>
      <c r="G34" s="32">
        <f>E34+F34</f>
        <v/>
      </c>
      <c r="H34" s="31">
        <f>-G34*Premissas!$B$53</f>
        <v/>
      </c>
      <c r="I34" s="31">
        <f>-(C34*Premissas!$B$19+D34*Premissas!$B$24)</f>
        <v/>
      </c>
      <c r="J34" s="31">
        <f>-IF(A34-Premissas!$B$34&lt;=2,Premissas!$B$41,IF(A34-Premissas!$B$34&lt;=5,Premissas!$B$42,IF(A34-Premissas!$B$34&lt;=8,Premissas!$B$43,Premissas!$B$44)))</f>
        <v/>
      </c>
      <c r="K34" s="31">
        <f>-IF(A34=1+Premissas!$B$34,Premissas!$B$47,IF(A34=3+Premissas!$B$34,Premissas!$B$48,IF(A34=6+Premissas!$B$34,Premissas!$B$49,0)))</f>
        <v/>
      </c>
      <c r="L34" s="32">
        <f>G34+H34+I34+J34+K34</f>
        <v/>
      </c>
      <c r="M34" s="32">
        <f>M33+L34</f>
        <v/>
      </c>
      <c r="N34" s="33">
        <f>IF(L34&gt;0,A34,9999)</f>
        <v/>
      </c>
      <c r="O34" s="33">
        <f>IF(M34&gt;0,A34,9999)</f>
        <v/>
      </c>
    </row>
    <row r="35">
      <c r="A35" s="27" t="n">
        <v>31</v>
      </c>
      <c r="B35" s="28">
        <f>Premissas!$B$28+(Premissas!$B$29-Premissas!$B$28)*A35/36</f>
        <v/>
      </c>
      <c r="C35" s="29">
        <f>IF(A35-Premissas!$B$34&lt;Premissas!$B$31,0,Premissas!$B$30*B35/(1+EXP(-Premissas!$B$33*(A35-Premissas!$B$34-Premissas!$B$32))))</f>
        <v/>
      </c>
      <c r="D35" s="30">
        <f>MAX(0,C35-C34)</f>
        <v/>
      </c>
      <c r="E35" s="31">
        <f>C35*Premissas!$B$12*(1-Premissas!$B$52)</f>
        <v/>
      </c>
      <c r="F35" s="31">
        <f>IF(A35&gt;=Premissas!$B$38+Premissas!$B$34,Premissas!$B$37*(1-Premissas!$B$52),0)</f>
        <v/>
      </c>
      <c r="G35" s="32">
        <f>E35+F35</f>
        <v/>
      </c>
      <c r="H35" s="31">
        <f>-G35*Premissas!$B$53</f>
        <v/>
      </c>
      <c r="I35" s="31">
        <f>-(C35*Premissas!$B$19+D35*Premissas!$B$24)</f>
        <v/>
      </c>
      <c r="J35" s="31">
        <f>-IF(A35-Premissas!$B$34&lt;=2,Premissas!$B$41,IF(A35-Premissas!$B$34&lt;=5,Premissas!$B$42,IF(A35-Premissas!$B$34&lt;=8,Premissas!$B$43,Premissas!$B$44)))</f>
        <v/>
      </c>
      <c r="K35" s="31">
        <f>-IF(A35=1+Premissas!$B$34,Premissas!$B$47,IF(A35=3+Premissas!$B$34,Premissas!$B$48,IF(A35=6+Premissas!$B$34,Premissas!$B$49,0)))</f>
        <v/>
      </c>
      <c r="L35" s="32">
        <f>G35+H35+I35+J35+K35</f>
        <v/>
      </c>
      <c r="M35" s="32">
        <f>M34+L35</f>
        <v/>
      </c>
      <c r="N35" s="33">
        <f>IF(L35&gt;0,A35,9999)</f>
        <v/>
      </c>
      <c r="O35" s="33">
        <f>IF(M35&gt;0,A35,9999)</f>
        <v/>
      </c>
    </row>
    <row r="36">
      <c r="A36" s="27" t="n">
        <v>32</v>
      </c>
      <c r="B36" s="28">
        <f>Premissas!$B$28+(Premissas!$B$29-Premissas!$B$28)*A36/36</f>
        <v/>
      </c>
      <c r="C36" s="29">
        <f>IF(A36-Premissas!$B$34&lt;Premissas!$B$31,0,Premissas!$B$30*B36/(1+EXP(-Premissas!$B$33*(A36-Premissas!$B$34-Premissas!$B$32))))</f>
        <v/>
      </c>
      <c r="D36" s="30">
        <f>MAX(0,C36-C35)</f>
        <v/>
      </c>
      <c r="E36" s="31">
        <f>C36*Premissas!$B$12*(1-Premissas!$B$52)</f>
        <v/>
      </c>
      <c r="F36" s="31">
        <f>IF(A36&gt;=Premissas!$B$38+Premissas!$B$34,Premissas!$B$37*(1-Premissas!$B$52),0)</f>
        <v/>
      </c>
      <c r="G36" s="32">
        <f>E36+F36</f>
        <v/>
      </c>
      <c r="H36" s="31">
        <f>-G36*Premissas!$B$53</f>
        <v/>
      </c>
      <c r="I36" s="31">
        <f>-(C36*Premissas!$B$19+D36*Premissas!$B$24)</f>
        <v/>
      </c>
      <c r="J36" s="31">
        <f>-IF(A36-Premissas!$B$34&lt;=2,Premissas!$B$41,IF(A36-Premissas!$B$34&lt;=5,Premissas!$B$42,IF(A36-Premissas!$B$34&lt;=8,Premissas!$B$43,Premissas!$B$44)))</f>
        <v/>
      </c>
      <c r="K36" s="31">
        <f>-IF(A36=1+Premissas!$B$34,Premissas!$B$47,IF(A36=3+Premissas!$B$34,Premissas!$B$48,IF(A36=6+Premissas!$B$34,Premissas!$B$49,0)))</f>
        <v/>
      </c>
      <c r="L36" s="32">
        <f>G36+H36+I36+J36+K36</f>
        <v/>
      </c>
      <c r="M36" s="32">
        <f>M35+L36</f>
        <v/>
      </c>
      <c r="N36" s="33">
        <f>IF(L36&gt;0,A36,9999)</f>
        <v/>
      </c>
      <c r="O36" s="33">
        <f>IF(M36&gt;0,A36,9999)</f>
        <v/>
      </c>
    </row>
    <row r="37">
      <c r="A37" s="27" t="n">
        <v>33</v>
      </c>
      <c r="B37" s="28">
        <f>Premissas!$B$28+(Premissas!$B$29-Premissas!$B$28)*A37/36</f>
        <v/>
      </c>
      <c r="C37" s="29">
        <f>IF(A37-Premissas!$B$34&lt;Premissas!$B$31,0,Premissas!$B$30*B37/(1+EXP(-Premissas!$B$33*(A37-Premissas!$B$34-Premissas!$B$32))))</f>
        <v/>
      </c>
      <c r="D37" s="30">
        <f>MAX(0,C37-C36)</f>
        <v/>
      </c>
      <c r="E37" s="31">
        <f>C37*Premissas!$B$12*(1-Premissas!$B$52)</f>
        <v/>
      </c>
      <c r="F37" s="31">
        <f>IF(A37&gt;=Premissas!$B$38+Premissas!$B$34,Premissas!$B$37*(1-Premissas!$B$52),0)</f>
        <v/>
      </c>
      <c r="G37" s="32">
        <f>E37+F37</f>
        <v/>
      </c>
      <c r="H37" s="31">
        <f>-G37*Premissas!$B$53</f>
        <v/>
      </c>
      <c r="I37" s="31">
        <f>-(C37*Premissas!$B$19+D37*Premissas!$B$24)</f>
        <v/>
      </c>
      <c r="J37" s="31">
        <f>-IF(A37-Premissas!$B$34&lt;=2,Premissas!$B$41,IF(A37-Premissas!$B$34&lt;=5,Premissas!$B$42,IF(A37-Premissas!$B$34&lt;=8,Premissas!$B$43,Premissas!$B$44)))</f>
        <v/>
      </c>
      <c r="K37" s="31">
        <f>-IF(A37=1+Premissas!$B$34,Premissas!$B$47,IF(A37=3+Premissas!$B$34,Premissas!$B$48,IF(A37=6+Premissas!$B$34,Premissas!$B$49,0)))</f>
        <v/>
      </c>
      <c r="L37" s="32">
        <f>G37+H37+I37+J37+K37</f>
        <v/>
      </c>
      <c r="M37" s="32">
        <f>M36+L37</f>
        <v/>
      </c>
      <c r="N37" s="33">
        <f>IF(L37&gt;0,A37,9999)</f>
        <v/>
      </c>
      <c r="O37" s="33">
        <f>IF(M37&gt;0,A37,9999)</f>
        <v/>
      </c>
    </row>
    <row r="38">
      <c r="A38" s="27" t="n">
        <v>34</v>
      </c>
      <c r="B38" s="28">
        <f>Premissas!$B$28+(Premissas!$B$29-Premissas!$B$28)*A38/36</f>
        <v/>
      </c>
      <c r="C38" s="29">
        <f>IF(A38-Premissas!$B$34&lt;Premissas!$B$31,0,Premissas!$B$30*B38/(1+EXP(-Premissas!$B$33*(A38-Premissas!$B$34-Premissas!$B$32))))</f>
        <v/>
      </c>
      <c r="D38" s="30">
        <f>MAX(0,C38-C37)</f>
        <v/>
      </c>
      <c r="E38" s="31">
        <f>C38*Premissas!$B$12*(1-Premissas!$B$52)</f>
        <v/>
      </c>
      <c r="F38" s="31">
        <f>IF(A38&gt;=Premissas!$B$38+Premissas!$B$34,Premissas!$B$37*(1-Premissas!$B$52),0)</f>
        <v/>
      </c>
      <c r="G38" s="32">
        <f>E38+F38</f>
        <v/>
      </c>
      <c r="H38" s="31">
        <f>-G38*Premissas!$B$53</f>
        <v/>
      </c>
      <c r="I38" s="31">
        <f>-(C38*Premissas!$B$19+D38*Premissas!$B$24)</f>
        <v/>
      </c>
      <c r="J38" s="31">
        <f>-IF(A38-Premissas!$B$34&lt;=2,Premissas!$B$41,IF(A38-Premissas!$B$34&lt;=5,Premissas!$B$42,IF(A38-Premissas!$B$34&lt;=8,Premissas!$B$43,Premissas!$B$44)))</f>
        <v/>
      </c>
      <c r="K38" s="31">
        <f>-IF(A38=1+Premissas!$B$34,Premissas!$B$47,IF(A38=3+Premissas!$B$34,Premissas!$B$48,IF(A38=6+Premissas!$B$34,Premissas!$B$49,0)))</f>
        <v/>
      </c>
      <c r="L38" s="32">
        <f>G38+H38+I38+J38+K38</f>
        <v/>
      </c>
      <c r="M38" s="32">
        <f>M37+L38</f>
        <v/>
      </c>
      <c r="N38" s="33">
        <f>IF(L38&gt;0,A38,9999)</f>
        <v/>
      </c>
      <c r="O38" s="33">
        <f>IF(M38&gt;0,A38,9999)</f>
        <v/>
      </c>
    </row>
    <row r="39">
      <c r="A39" s="27" t="n">
        <v>35</v>
      </c>
      <c r="B39" s="28">
        <f>Premissas!$B$28+(Premissas!$B$29-Premissas!$B$28)*A39/36</f>
        <v/>
      </c>
      <c r="C39" s="29">
        <f>IF(A39-Premissas!$B$34&lt;Premissas!$B$31,0,Premissas!$B$30*B39/(1+EXP(-Premissas!$B$33*(A39-Premissas!$B$34-Premissas!$B$32))))</f>
        <v/>
      </c>
      <c r="D39" s="30">
        <f>MAX(0,C39-C38)</f>
        <v/>
      </c>
      <c r="E39" s="31">
        <f>C39*Premissas!$B$12*(1-Premissas!$B$52)</f>
        <v/>
      </c>
      <c r="F39" s="31">
        <f>IF(A39&gt;=Premissas!$B$38+Premissas!$B$34,Premissas!$B$37*(1-Premissas!$B$52),0)</f>
        <v/>
      </c>
      <c r="G39" s="32">
        <f>E39+F39</f>
        <v/>
      </c>
      <c r="H39" s="31">
        <f>-G39*Premissas!$B$53</f>
        <v/>
      </c>
      <c r="I39" s="31">
        <f>-(C39*Premissas!$B$19+D39*Premissas!$B$24)</f>
        <v/>
      </c>
      <c r="J39" s="31">
        <f>-IF(A39-Premissas!$B$34&lt;=2,Premissas!$B$41,IF(A39-Premissas!$B$34&lt;=5,Premissas!$B$42,IF(A39-Premissas!$B$34&lt;=8,Premissas!$B$43,Premissas!$B$44)))</f>
        <v/>
      </c>
      <c r="K39" s="31">
        <f>-IF(A39=1+Premissas!$B$34,Premissas!$B$47,IF(A39=3+Premissas!$B$34,Premissas!$B$48,IF(A39=6+Premissas!$B$34,Premissas!$B$49,0)))</f>
        <v/>
      </c>
      <c r="L39" s="32">
        <f>G39+H39+I39+J39+K39</f>
        <v/>
      </c>
      <c r="M39" s="32">
        <f>M38+L39</f>
        <v/>
      </c>
      <c r="N39" s="33">
        <f>IF(L39&gt;0,A39,9999)</f>
        <v/>
      </c>
      <c r="O39" s="33">
        <f>IF(M39&gt;0,A39,9999)</f>
        <v/>
      </c>
    </row>
    <row r="40">
      <c r="A40" s="34" t="n">
        <v>36</v>
      </c>
      <c r="B40" s="35">
        <f>Premissas!$B$28+(Premissas!$B$29-Premissas!$B$28)*A40/36</f>
        <v/>
      </c>
      <c r="C40" s="36">
        <f>IF(A40-Premissas!$B$34&lt;Premissas!$B$31,0,Premissas!$B$30*B40/(1+EXP(-Premissas!$B$33*(A40-Premissas!$B$34-Premissas!$B$32))))</f>
        <v/>
      </c>
      <c r="D40" s="37">
        <f>MAX(0,C40-C39)</f>
        <v/>
      </c>
      <c r="E40" s="38">
        <f>C40*Premissas!$B$12*(1-Premissas!$B$52)</f>
        <v/>
      </c>
      <c r="F40" s="38">
        <f>IF(A40&gt;=Premissas!$B$38+Premissas!$B$34,Premissas!$B$37*(1-Premissas!$B$52),0)</f>
        <v/>
      </c>
      <c r="G40" s="19">
        <f>E40+F40</f>
        <v/>
      </c>
      <c r="H40" s="38">
        <f>-G40*Premissas!$B$53</f>
        <v/>
      </c>
      <c r="I40" s="38">
        <f>-(C40*Premissas!$B$19+D40*Premissas!$B$24)</f>
        <v/>
      </c>
      <c r="J40" s="38">
        <f>-IF(A40-Premissas!$B$34&lt;=2,Premissas!$B$41,IF(A40-Premissas!$B$34&lt;=5,Premissas!$B$42,IF(A40-Premissas!$B$34&lt;=8,Premissas!$B$43,Premissas!$B$44)))</f>
        <v/>
      </c>
      <c r="K40" s="38">
        <f>-IF(A40=1+Premissas!$B$34,Premissas!$B$47,IF(A40=3+Premissas!$B$34,Premissas!$B$48,IF(A40=6+Premissas!$B$34,Premissas!$B$49,0)))</f>
        <v/>
      </c>
      <c r="L40" s="19">
        <f>G40+H40+I40+J40+K40</f>
        <v/>
      </c>
      <c r="M40" s="19">
        <f>M39+L40</f>
        <v/>
      </c>
      <c r="N40" s="39">
        <f>IF(L40&gt;0,A40,9999)</f>
        <v/>
      </c>
      <c r="O40" s="39">
        <f>IF(M40&gt;0,A40,9999)</f>
        <v/>
      </c>
    </row>
    <row r="42">
      <c r="N42" s="2" t="inlineStr">
        <is>
          <t>Colunas auxiliares: 9999 = ainda não aconteceu.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4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2" customWidth="1" min="3" max="3"/>
    <col width="46" customWidth="1" min="4" max="4"/>
    <col width="2" customWidth="1" min="5" max="5"/>
    <col width="2" customWidth="1" min="6" max="6"/>
  </cols>
  <sheetData>
    <row r="1">
      <c r="A1" s="1" t="inlineStr">
        <is>
          <t>Resumo — os números de decisão</t>
        </is>
      </c>
    </row>
    <row r="2">
      <c r="A2" s="2" t="inlineStr">
        <is>
          <t>Tudo calculado a partir do Modelo mensal. Nada digitado.</t>
        </is>
      </c>
    </row>
    <row r="4" ht="28" customHeight="1">
      <c r="A4" s="11" t="inlineStr">
        <is>
          <t>Indicador</t>
        </is>
      </c>
      <c r="B4" s="11" t="inlineStr">
        <is>
          <t>Valor</t>
        </is>
      </c>
      <c r="C4" s="11" t="inlineStr">
        <is>
          <t>Unidade</t>
        </is>
      </c>
      <c r="D4" s="11" t="inlineStr">
        <is>
          <t>Leitura</t>
        </is>
      </c>
    </row>
    <row r="6">
      <c r="A6" s="5" t="inlineStr">
        <is>
          <t>CAIXA</t>
        </is>
      </c>
      <c r="B6" s="6" t="n"/>
      <c r="C6" s="6" t="n"/>
      <c r="D6" s="6" t="n"/>
    </row>
    <row r="7">
      <c r="A7" s="12" t="inlineStr">
        <is>
          <t>Capital necessário</t>
        </is>
      </c>
      <c r="B7" s="40">
        <f>-MIN('Modelo mensal'!M5:M40)</f>
        <v/>
      </c>
      <c r="C7" s="2" t="inlineStr">
        <is>
          <t>R$</t>
        </is>
      </c>
      <c r="D7" s="18" t="inlineStr">
        <is>
          <t>O ponto mais fundo do caixa. É o dinheiro que precisa existir antes de começar.</t>
        </is>
      </c>
    </row>
    <row r="8">
      <c r="A8" s="12" t="inlineStr">
        <is>
          <t>Mês do pico de caixa negativo</t>
        </is>
      </c>
      <c r="B8" s="28">
        <f>INDEX('Modelo mensal'!A5:A40,MATCH(MIN('Modelo mensal'!M5:M40),'Modelo mensal'!M5:M40,0))</f>
        <v/>
      </c>
      <c r="C8" s="2" t="inlineStr">
        <is>
          <t>mês</t>
        </is>
      </c>
      <c r="D8" s="18" t="inlineStr"/>
    </row>
    <row r="9">
      <c r="A9" s="12" t="inlineStr">
        <is>
          <t>1º mês com resultado positivo</t>
        </is>
      </c>
      <c r="B9" s="41">
        <f>IF(MIN('Modelo mensal'!N5:N40)=9999,0,MIN('Modelo mensal'!N5:N40))</f>
        <v/>
      </c>
      <c r="C9" s="2" t="inlineStr">
        <is>
          <t>mês</t>
        </is>
      </c>
      <c r="D9" s="18" t="inlineStr">
        <is>
          <t>Zero significa que não acontece em 36 meses.</t>
        </is>
      </c>
    </row>
    <row r="10">
      <c r="A10" s="12" t="inlineStr">
        <is>
          <t>Mês em que o caixa volta a zero</t>
        </is>
      </c>
      <c r="B10" s="41">
        <f>IF(MIN('Modelo mensal'!O5:O40)=9999,0,MIN('Modelo mensal'!O5:O40))</f>
        <v/>
      </c>
      <c r="C10" s="2" t="inlineStr">
        <is>
          <t>mês</t>
        </is>
      </c>
      <c r="D10" s="18" t="inlineStr">
        <is>
          <t>Zero significa que não volta em 36 meses.</t>
        </is>
      </c>
    </row>
    <row r="11">
      <c r="A11" s="12" t="inlineStr">
        <is>
          <t>Caixa no mês 36</t>
        </is>
      </c>
      <c r="B11" s="31">
        <f>'Modelo mensal'!M40</f>
        <v/>
      </c>
      <c r="C11" s="2" t="inlineStr">
        <is>
          <t>R$</t>
        </is>
      </c>
      <c r="D11" s="18" t="inlineStr"/>
    </row>
    <row r="13">
      <c r="A13" s="5" t="inlineStr">
        <is>
          <t>RESULTADO POR ANO</t>
        </is>
      </c>
      <c r="B13" s="6" t="n"/>
      <c r="C13" s="6" t="n"/>
      <c r="D13" s="6" t="n"/>
    </row>
    <row r="14">
      <c r="A14" s="3" t="inlineStr">
        <is>
          <t>Ano</t>
        </is>
      </c>
      <c r="B14" s="3" t="inlineStr">
        <is>
          <t>Receita (antes de impostos)</t>
        </is>
      </c>
      <c r="C14" s="3" t="inlineStr">
        <is>
          <t>Resultado</t>
        </is>
      </c>
      <c r="D14" s="3" t="inlineStr">
        <is>
          <t>Lojas no fim do ano</t>
        </is>
      </c>
    </row>
    <row r="15">
      <c r="A15" s="12" t="inlineStr">
        <is>
          <t>Ano 1</t>
        </is>
      </c>
      <c r="B15" s="31">
        <f>SUM('Modelo mensal'!G5:G16)</f>
        <v/>
      </c>
      <c r="C15" s="31">
        <f>SUM('Modelo mensal'!L5:L16)</f>
        <v/>
      </c>
      <c r="D15" s="28">
        <f>'Modelo mensal'!C16</f>
        <v/>
      </c>
    </row>
    <row r="16">
      <c r="A16" s="12" t="inlineStr">
        <is>
          <t>Ano 2</t>
        </is>
      </c>
      <c r="B16" s="31">
        <f>SUM('Modelo mensal'!G17:G28)</f>
        <v/>
      </c>
      <c r="C16" s="31">
        <f>SUM('Modelo mensal'!L17:L28)</f>
        <v/>
      </c>
      <c r="D16" s="28">
        <f>'Modelo mensal'!C28</f>
        <v/>
      </c>
    </row>
    <row r="17">
      <c r="A17" s="12" t="inlineStr">
        <is>
          <t>Ano 3</t>
        </is>
      </c>
      <c r="B17" s="31">
        <f>SUM('Modelo mensal'!G29:G40)</f>
        <v/>
      </c>
      <c r="C17" s="31">
        <f>SUM('Modelo mensal'!L29:L40)</f>
        <v/>
      </c>
      <c r="D17" s="28">
        <f>'Modelo mensal'!C40</f>
        <v/>
      </c>
    </row>
    <row r="19">
      <c r="A19" s="5" t="inlineStr">
        <is>
          <t>PONTO DE EQUILÍBRIO</t>
        </is>
      </c>
      <c r="B19" s="6" t="n"/>
      <c r="C19" s="6" t="n"/>
      <c r="D19" s="6" t="n"/>
    </row>
    <row r="20">
      <c r="A20" s="12" t="inlineStr">
        <is>
          <t>Lojas necessárias — só os planos</t>
        </is>
      </c>
      <c r="B20" s="42">
        <f>IF(Premissas!$B$20=0,0,Premissas!$B$44/Premissas!$B$20)</f>
        <v/>
      </c>
      <c r="C20" s="2" t="inlineStr">
        <is>
          <t>lojas</t>
        </is>
      </c>
      <c r="D20" s="18" t="inlineStr">
        <is>
          <t>Custo fixo em regime dividido pela margem de contribuição.</t>
        </is>
      </c>
    </row>
    <row r="21">
      <c r="A21" s="12" t="inlineStr">
        <is>
          <t>Lojas necessárias — com o Painel da Rede</t>
        </is>
      </c>
      <c r="B21" s="42">
        <f>IF(Premissas!$B$20=0,0,MAX(0,(Premissas!$B$44-Premissas!$B$37)/Premissas!$B$20))</f>
        <v/>
      </c>
      <c r="C21" s="2" t="inlineStr">
        <is>
          <t>lojas</t>
        </is>
      </c>
      <c r="D21" s="18" t="inlineStr"/>
    </row>
    <row r="22">
      <c r="A22" s="12" t="inlineStr">
        <is>
          <t>% da rede de hoje — só os planos</t>
        </is>
      </c>
      <c r="B22" s="43">
        <f>IF(Premissas!$B$28=0,0,B20/Premissas!$B$28)</f>
        <v/>
      </c>
      <c r="C22" s="2" t="inlineStr">
        <is>
          <t>%</t>
        </is>
      </c>
      <c r="D22" s="18" t="inlineStr"/>
    </row>
    <row r="23">
      <c r="A23" s="12" t="inlineStr">
        <is>
          <t>% da rede de hoje — com o Painel</t>
        </is>
      </c>
      <c r="B23" s="43">
        <f>IF(Premissas!$B$28=0,0,B21/Premissas!$B$28)</f>
        <v/>
      </c>
      <c r="C23" s="2" t="inlineStr">
        <is>
          <t>%</t>
        </is>
      </c>
      <c r="D23" s="18" t="inlineStr"/>
    </row>
    <row r="25">
      <c r="A25" s="5" t="inlineStr">
        <is>
          <t>ECONOMIA UNITÁRIA</t>
        </is>
      </c>
      <c r="B25" s="6" t="n"/>
      <c r="C25" s="6" t="n"/>
      <c r="D25" s="6" t="n"/>
    </row>
    <row r="26">
      <c r="A26" s="12" t="inlineStr">
        <is>
          <t>Ticket médio</t>
        </is>
      </c>
      <c r="B26" s="44">
        <f>Premissas!$B$12</f>
        <v/>
      </c>
      <c r="C26" s="2" t="inlineStr">
        <is>
          <t>R$/mês</t>
        </is>
      </c>
      <c r="D26" s="18" t="inlineStr"/>
    </row>
    <row r="27">
      <c r="A27" s="12" t="inlineStr">
        <is>
          <t>Custo variável por loja</t>
        </is>
      </c>
      <c r="B27" s="44">
        <f>Premissas!$B$19</f>
        <v/>
      </c>
      <c r="C27" s="2" t="inlineStr">
        <is>
          <t>R$/mês</t>
        </is>
      </c>
      <c r="D27" s="18" t="inlineStr"/>
    </row>
    <row r="28">
      <c r="A28" s="12" t="inlineStr">
        <is>
          <t>Margem de contribuição</t>
        </is>
      </c>
      <c r="B28" s="44">
        <f>Premissas!$B$20</f>
        <v/>
      </c>
      <c r="C28" s="2" t="inlineStr">
        <is>
          <t>R$/mês</t>
        </is>
      </c>
      <c r="D28" s="18" t="inlineStr"/>
    </row>
    <row r="29">
      <c r="A29" s="12" t="inlineStr">
        <is>
          <t>Margem de contribuição %</t>
        </is>
      </c>
      <c r="B29" s="43">
        <f>Premissas!$B$20/Premissas!$B$12</f>
        <v/>
      </c>
      <c r="C29" s="2" t="inlineStr">
        <is>
          <t>%</t>
        </is>
      </c>
      <c r="D29" s="18" t="inlineStr"/>
    </row>
    <row r="30">
      <c r="A30" s="12" t="inlineStr">
        <is>
          <t>Payback do CAC</t>
        </is>
      </c>
      <c r="B30" s="29">
        <f>IF(Premissas!$B$20=0,0,Premissas!$B$24/Premissas!$B$20)</f>
        <v/>
      </c>
      <c r="C30" s="2" t="inlineStr">
        <is>
          <t>meses</t>
        </is>
      </c>
      <c r="D30" s="18" t="inlineStr">
        <is>
          <t>Quantos meses uma loja leva para devolver o custo de tê-la conquistado.</t>
        </is>
      </c>
    </row>
    <row r="31">
      <c r="A31" s="12" t="inlineStr">
        <is>
          <t>LTV</t>
        </is>
      </c>
      <c r="B31" s="31">
        <f>IF(Premissas!$B$25=0,0,Premissas!$B$20/Premissas!$B$25)</f>
        <v/>
      </c>
      <c r="C31" s="2" t="inlineStr">
        <is>
          <t>R$</t>
        </is>
      </c>
      <c r="D31" s="18" t="inlineStr">
        <is>
          <t>Margem de contribuição dividida pelo churn mensal.</t>
        </is>
      </c>
    </row>
    <row r="32">
      <c r="A32" s="12" t="inlineStr">
        <is>
          <t>LTV / CAC</t>
        </is>
      </c>
      <c r="B32" s="45">
        <f>IF(Premissas!$B$24=0,0,B31/Premissas!$B$24)</f>
        <v/>
      </c>
      <c r="C32" s="2" t="inlineStr">
        <is>
          <t>x</t>
        </is>
      </c>
      <c r="D32" s="18" t="inlineStr">
        <is>
          <t>Acima de 3x já é saudável. Um número muito alto aqui não é sorte: diz que o risco deste negócio não está em conquistar cliente, está no canal.</t>
        </is>
      </c>
    </row>
    <row r="34">
      <c r="A34" s="46" t="inlineStr">
        <is>
          <t>Este resumo está antes dos impostos se a alíquota em Premissas estiver zerada (item N3).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U7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7" customWidth="1" min="3" max="3"/>
    <col width="17" customWidth="1" min="4" max="4"/>
    <col width="15" customWidth="1" min="5" max="5"/>
    <col width="16" customWidth="1" min="6" max="6"/>
    <col width="15" customWidth="1" min="7" max="7"/>
  </cols>
  <sheetData>
    <row r="1">
      <c r="A1" s="1" t="inlineStr">
        <is>
          <t>Cenários</t>
        </is>
      </c>
    </row>
    <row r="2">
      <c r="A2" s="2" t="inlineStr">
        <is>
          <t>Cada cenário recalcula os 36 meses com suas próprias premissas. Os valores em branco herdam a aba Premissas.</t>
        </is>
      </c>
    </row>
    <row r="4">
      <c r="A4" s="5" t="inlineStr">
        <is>
          <t>PREMISSAS DE CADA CENÁRIO</t>
        </is>
      </c>
      <c r="B4" s="6" t="n"/>
      <c r="C4" s="6" t="n"/>
      <c r="D4" s="6" t="n"/>
      <c r="E4" s="6" t="n"/>
      <c r="F4" s="6" t="n"/>
      <c r="G4" s="6" t="n"/>
      <c r="H4" s="6" t="n"/>
    </row>
    <row r="5" ht="28" customHeight="1">
      <c r="A5" s="11" t="inlineStr">
        <is>
          <t>Cenário</t>
        </is>
      </c>
      <c r="B5" s="11" t="inlineStr">
        <is>
          <t>Ticket médio</t>
        </is>
      </c>
      <c r="C5" s="11" t="inlineStr">
        <is>
          <t>Teto de adoção</t>
        </is>
      </c>
      <c r="D5" s="11" t="inlineStr">
        <is>
          <t>Atraso (meses)</t>
        </is>
      </c>
      <c r="E5" s="11" t="inlineStr">
        <is>
          <t>Participação franqueadora</t>
        </is>
      </c>
      <c r="F5" s="11" t="inlineStr">
        <is>
          <t>Painel da Rede</t>
        </is>
      </c>
      <c r="G5" s="11" t="inlineStr">
        <is>
          <t>Custo fixo em regime</t>
        </is>
      </c>
    </row>
    <row r="6">
      <c r="A6" s="47" t="inlineStr">
        <is>
          <t>Base</t>
        </is>
      </c>
      <c r="B6" s="48">
        <f>Premissas!$B$12</f>
        <v/>
      </c>
      <c r="C6" s="49">
        <f>Premissas!$B$30</f>
        <v/>
      </c>
      <c r="D6" s="50" t="n">
        <v>0</v>
      </c>
      <c r="E6" s="51" t="n">
        <v>0</v>
      </c>
      <c r="F6" s="38">
        <f>Premissas!$B$37</f>
        <v/>
      </c>
      <c r="G6" s="38">
        <f>Premissas!$B$44</f>
        <v/>
      </c>
    </row>
    <row r="7">
      <c r="A7" s="12" t="inlineStr">
        <is>
          <t>Adoção metade — 33% da rede</t>
        </is>
      </c>
      <c r="B7" s="44">
        <f>Premissas!$B$12</f>
        <v/>
      </c>
      <c r="C7" s="21" t="n">
        <v>0.325</v>
      </c>
      <c r="D7" s="22" t="n">
        <v>0</v>
      </c>
      <c r="E7" s="21" t="n">
        <v>0</v>
      </c>
      <c r="F7" s="31">
        <f>Premissas!$B$37</f>
        <v/>
      </c>
      <c r="G7" s="31">
        <f>Premissas!$B$44</f>
        <v/>
      </c>
    </row>
    <row r="8">
      <c r="A8" s="12" t="inlineStr">
        <is>
          <t>Homologação atrasa 6 meses</t>
        </is>
      </c>
      <c r="B8" s="44">
        <f>Premissas!$B$12</f>
        <v/>
      </c>
      <c r="C8" s="43">
        <f>Premissas!$B$30</f>
        <v/>
      </c>
      <c r="D8" s="22" t="n">
        <v>6</v>
      </c>
      <c r="E8" s="21" t="n">
        <v>0</v>
      </c>
      <c r="F8" s="31">
        <f>Premissas!$B$37</f>
        <v/>
      </c>
      <c r="G8" s="31">
        <f>Premissas!$B$44</f>
        <v/>
      </c>
    </row>
    <row r="9">
      <c r="A9" s="12" t="inlineStr">
        <is>
          <t>Preço 20% menor</t>
        </is>
      </c>
      <c r="B9" s="52" t="n">
        <v>255</v>
      </c>
      <c r="C9" s="43">
        <f>Premissas!$B$30</f>
        <v/>
      </c>
      <c r="D9" s="22" t="n">
        <v>0</v>
      </c>
      <c r="E9" s="21" t="n">
        <v>0</v>
      </c>
      <c r="F9" s="31">
        <f>Premissas!$B$37</f>
        <v/>
      </c>
      <c r="G9" s="31">
        <f>Premissas!$B$44</f>
        <v/>
      </c>
    </row>
    <row r="10">
      <c r="A10" s="12" t="inlineStr">
        <is>
          <t>Sem o Painel da Rede</t>
        </is>
      </c>
      <c r="B10" s="44">
        <f>Premissas!$B$12</f>
        <v/>
      </c>
      <c r="C10" s="43">
        <f>Premissas!$B$30</f>
        <v/>
      </c>
      <c r="D10" s="22" t="n">
        <v>0</v>
      </c>
      <c r="E10" s="21" t="n">
        <v>0</v>
      </c>
      <c r="F10" s="17" t="n">
        <v>0</v>
      </c>
      <c r="G10" s="31">
        <f>Premissas!$B$44</f>
        <v/>
      </c>
    </row>
    <row r="11">
      <c r="A11" s="12" t="inlineStr">
        <is>
          <t>Participação de 20% à franqueadora</t>
        </is>
      </c>
      <c r="B11" s="44">
        <f>Premissas!$B$12</f>
        <v/>
      </c>
      <c r="C11" s="43">
        <f>Premissas!$B$30</f>
        <v/>
      </c>
      <c r="D11" s="22" t="n">
        <v>0</v>
      </c>
      <c r="E11" s="21" t="n">
        <v>0.2</v>
      </c>
      <c r="F11" s="31">
        <f>Premissas!$B$37</f>
        <v/>
      </c>
      <c r="G11" s="31">
        <f>Premissas!$B$44</f>
        <v/>
      </c>
    </row>
    <row r="12">
      <c r="A12" s="12" t="inlineStr">
        <is>
          <t>Participação de 35%</t>
        </is>
      </c>
      <c r="B12" s="44">
        <f>Premissas!$B$12</f>
        <v/>
      </c>
      <c r="C12" s="43">
        <f>Premissas!$B$30</f>
        <v/>
      </c>
      <c r="D12" s="22" t="n">
        <v>0</v>
      </c>
      <c r="E12" s="21" t="n">
        <v>0.35</v>
      </c>
      <c r="F12" s="31">
        <f>Premissas!$B$37</f>
        <v/>
      </c>
      <c r="G12" s="31">
        <f>Premissas!$B$44</f>
        <v/>
      </c>
    </row>
    <row r="13">
      <c r="A13" s="12" t="inlineStr">
        <is>
          <t>Participação de 50%</t>
        </is>
      </c>
      <c r="B13" s="44">
        <f>Premissas!$B$12</f>
        <v/>
      </c>
      <c r="C13" s="43">
        <f>Premissas!$B$30</f>
        <v/>
      </c>
      <c r="D13" s="22" t="n">
        <v>0</v>
      </c>
      <c r="E13" s="21" t="n">
        <v>0.5</v>
      </c>
      <c r="F13" s="31">
        <f>Premissas!$B$37</f>
        <v/>
      </c>
      <c r="G13" s="31">
        <f>Premissas!$B$44</f>
        <v/>
      </c>
    </row>
    <row r="14">
      <c r="A14" s="12" t="inlineStr">
        <is>
          <t>Pior caso combinado</t>
        </is>
      </c>
      <c r="B14" s="44">
        <f>Premissas!$B$12</f>
        <v/>
      </c>
      <c r="C14" s="21" t="n">
        <v>0.325</v>
      </c>
      <c r="D14" s="22" t="n">
        <v>6</v>
      </c>
      <c r="E14" s="21" t="n">
        <v>0.35</v>
      </c>
      <c r="F14" s="31">
        <f>Premissas!$B$37</f>
        <v/>
      </c>
      <c r="G14" s="31">
        <f>Premissas!$B$44</f>
        <v/>
      </c>
    </row>
    <row r="15">
      <c r="A15" s="12" t="inlineStr">
        <is>
          <t>Enxuta — sem pró-labore</t>
        </is>
      </c>
      <c r="B15" s="44">
        <f>Premissas!$B$12</f>
        <v/>
      </c>
      <c r="C15" s="43">
        <f>Premissas!$B$30</f>
        <v/>
      </c>
      <c r="D15" s="22" t="n">
        <v>0</v>
      </c>
      <c r="E15" s="21" t="n">
        <v>0</v>
      </c>
      <c r="F15" s="31">
        <f>Premissas!$B$37</f>
        <v/>
      </c>
      <c r="G15" s="17" t="n">
        <v>25000</v>
      </c>
    </row>
    <row r="18">
      <c r="A18" s="5" t="inlineStr">
        <is>
          <t>RESULTADO DE CADA CENÁRIO</t>
        </is>
      </c>
      <c r="B18" s="6" t="n"/>
      <c r="C18" s="6" t="n"/>
      <c r="D18" s="6" t="n"/>
      <c r="E18" s="6" t="n"/>
      <c r="F18" s="6" t="n"/>
      <c r="G18" s="6" t="n"/>
    </row>
    <row r="19" ht="28" customHeight="1">
      <c r="A19" s="11" t="inlineStr">
        <is>
          <t>Cenário</t>
        </is>
      </c>
      <c r="B19" s="11" t="inlineStr">
        <is>
          <t>1º mês positivo</t>
        </is>
      </c>
      <c r="C19" s="11" t="inlineStr">
        <is>
          <t>Caixa volta a zero</t>
        </is>
      </c>
      <c r="D19" s="11" t="inlineStr">
        <is>
          <t>Capital necessário</t>
        </is>
      </c>
      <c r="E19" s="11" t="inlineStr">
        <is>
          <t>Receita ano 3 (líquida de participação e impostos)</t>
        </is>
      </c>
      <c r="F19" s="11" t="inlineStr">
        <is>
          <t>Resultado ano 3</t>
        </is>
      </c>
      <c r="G19" s="11" t="inlineStr">
        <is>
          <t>Lojas no mês 36</t>
        </is>
      </c>
    </row>
    <row r="20">
      <c r="A20" s="47" t="inlineStr">
        <is>
          <t>Base</t>
        </is>
      </c>
      <c r="B20" s="39">
        <f>IF(MIN(H36:H71)=9999,0,MIN(H36:H71))</f>
        <v/>
      </c>
      <c r="C20" s="39">
        <f>IF(MIN(I36:I71)=9999,0,MIN(I36:I71))</f>
        <v/>
      </c>
      <c r="D20" s="19">
        <f>-MIN(G36:G71)</f>
        <v/>
      </c>
      <c r="E20" s="19">
        <f>SUM(D60:D71)</f>
        <v/>
      </c>
      <c r="F20" s="19">
        <f>SUM(F60:F71)</f>
        <v/>
      </c>
      <c r="G20" s="39">
        <f>C71</f>
        <v/>
      </c>
    </row>
    <row r="21">
      <c r="A21" s="12" t="inlineStr">
        <is>
          <t>Adoção metade — 33% da rede</t>
        </is>
      </c>
      <c r="B21" s="33">
        <f>IF(MIN(O36:O71)=9999,0,MIN(O36:O71))</f>
        <v/>
      </c>
      <c r="C21" s="33">
        <f>IF(MIN(P36:P71)=9999,0,MIN(P36:P71))</f>
        <v/>
      </c>
      <c r="D21" s="32">
        <f>-MIN(N36:N71)</f>
        <v/>
      </c>
      <c r="E21" s="32">
        <f>SUM(K60:K71)</f>
        <v/>
      </c>
      <c r="F21" s="32">
        <f>SUM(M60:M71)</f>
        <v/>
      </c>
      <c r="G21" s="33">
        <f>J71</f>
        <v/>
      </c>
    </row>
    <row r="22">
      <c r="A22" s="12" t="inlineStr">
        <is>
          <t>Homologação atrasa 6 meses</t>
        </is>
      </c>
      <c r="B22" s="33">
        <f>IF(MIN(V36:V71)=9999,0,MIN(V36:V71))</f>
        <v/>
      </c>
      <c r="C22" s="33">
        <f>IF(MIN(W36:W71)=9999,0,MIN(W36:W71))</f>
        <v/>
      </c>
      <c r="D22" s="32">
        <f>-MIN(U36:U71)</f>
        <v/>
      </c>
      <c r="E22" s="32">
        <f>SUM(R60:R71)</f>
        <v/>
      </c>
      <c r="F22" s="32">
        <f>SUM(T60:T71)</f>
        <v/>
      </c>
      <c r="G22" s="33">
        <f>Q71</f>
        <v/>
      </c>
    </row>
    <row r="23">
      <c r="A23" s="12" t="inlineStr">
        <is>
          <t>Preço 20% menor</t>
        </is>
      </c>
      <c r="B23" s="33">
        <f>IF(MIN(AC36:AC71)=9999,0,MIN(AC36:AC71))</f>
        <v/>
      </c>
      <c r="C23" s="33">
        <f>IF(MIN(AD36:AD71)=9999,0,MIN(AD36:AD71))</f>
        <v/>
      </c>
      <c r="D23" s="32">
        <f>-MIN(AB36:AB71)</f>
        <v/>
      </c>
      <c r="E23" s="32">
        <f>SUM(Y60:Y71)</f>
        <v/>
      </c>
      <c r="F23" s="32">
        <f>SUM(AA60:AA71)</f>
        <v/>
      </c>
      <c r="G23" s="33">
        <f>X71</f>
        <v/>
      </c>
    </row>
    <row r="24">
      <c r="A24" s="12" t="inlineStr">
        <is>
          <t>Sem o Painel da Rede</t>
        </is>
      </c>
      <c r="B24" s="33">
        <f>IF(MIN(AJ36:AJ71)=9999,0,MIN(AJ36:AJ71))</f>
        <v/>
      </c>
      <c r="C24" s="33">
        <f>IF(MIN(AK36:AK71)=9999,0,MIN(AK36:AK71))</f>
        <v/>
      </c>
      <c r="D24" s="32">
        <f>-MIN(AI36:AI71)</f>
        <v/>
      </c>
      <c r="E24" s="32">
        <f>SUM(AF60:AF71)</f>
        <v/>
      </c>
      <c r="F24" s="32">
        <f>SUM(AH60:AH71)</f>
        <v/>
      </c>
      <c r="G24" s="33">
        <f>AE71</f>
        <v/>
      </c>
    </row>
    <row r="25">
      <c r="A25" s="12" t="inlineStr">
        <is>
          <t>Participação de 20% à franqueadora</t>
        </is>
      </c>
      <c r="B25" s="33">
        <f>IF(MIN(AQ36:AQ71)=9999,0,MIN(AQ36:AQ71))</f>
        <v/>
      </c>
      <c r="C25" s="33">
        <f>IF(MIN(AR36:AR71)=9999,0,MIN(AR36:AR71))</f>
        <v/>
      </c>
      <c r="D25" s="32">
        <f>-MIN(AP36:AP71)</f>
        <v/>
      </c>
      <c r="E25" s="32">
        <f>SUM(AM60:AM71)</f>
        <v/>
      </c>
      <c r="F25" s="32">
        <f>SUM(AO60:AO71)</f>
        <v/>
      </c>
      <c r="G25" s="33">
        <f>AL71</f>
        <v/>
      </c>
    </row>
    <row r="26">
      <c r="A26" s="12" t="inlineStr">
        <is>
          <t>Participação de 35%</t>
        </is>
      </c>
      <c r="B26" s="33">
        <f>IF(MIN(AX36:AX71)=9999,0,MIN(AX36:AX71))</f>
        <v/>
      </c>
      <c r="C26" s="33">
        <f>IF(MIN(AY36:AY71)=9999,0,MIN(AY36:AY71))</f>
        <v/>
      </c>
      <c r="D26" s="32">
        <f>-MIN(AW36:AW71)</f>
        <v/>
      </c>
      <c r="E26" s="32">
        <f>SUM(AT60:AT71)</f>
        <v/>
      </c>
      <c r="F26" s="32">
        <f>SUM(AV60:AV71)</f>
        <v/>
      </c>
      <c r="G26" s="33">
        <f>AS71</f>
        <v/>
      </c>
    </row>
    <row r="27">
      <c r="A27" s="12" t="inlineStr">
        <is>
          <t>Participação de 50%</t>
        </is>
      </c>
      <c r="B27" s="33">
        <f>IF(MIN(BE36:BE71)=9999,0,MIN(BE36:BE71))</f>
        <v/>
      </c>
      <c r="C27" s="33">
        <f>IF(MIN(BF36:BF71)=9999,0,MIN(BF36:BF71))</f>
        <v/>
      </c>
      <c r="D27" s="32">
        <f>-MIN(BD36:BD71)</f>
        <v/>
      </c>
      <c r="E27" s="32">
        <f>SUM(BA60:BA71)</f>
        <v/>
      </c>
      <c r="F27" s="32">
        <f>SUM(BC60:BC71)</f>
        <v/>
      </c>
      <c r="G27" s="33">
        <f>AZ71</f>
        <v/>
      </c>
    </row>
    <row r="28">
      <c r="A28" s="12" t="inlineStr">
        <is>
          <t>Pior caso combinado</t>
        </is>
      </c>
      <c r="B28" s="33">
        <f>IF(MIN(BL36:BL71)=9999,0,MIN(BL36:BL71))</f>
        <v/>
      </c>
      <c r="C28" s="33">
        <f>IF(MIN(BM36:BM71)=9999,0,MIN(BM36:BM71))</f>
        <v/>
      </c>
      <c r="D28" s="32">
        <f>-MIN(BK36:BK71)</f>
        <v/>
      </c>
      <c r="E28" s="32">
        <f>SUM(BH60:BH71)</f>
        <v/>
      </c>
      <c r="F28" s="32">
        <f>SUM(BJ60:BJ71)</f>
        <v/>
      </c>
      <c r="G28" s="33">
        <f>BG71</f>
        <v/>
      </c>
    </row>
    <row r="29">
      <c r="A29" s="12" t="inlineStr">
        <is>
          <t>Enxuta — sem pró-labore</t>
        </is>
      </c>
      <c r="B29" s="33">
        <f>IF(MIN(BS36:BS71)=9999,0,MIN(BS36:BS71))</f>
        <v/>
      </c>
      <c r="C29" s="33">
        <f>IF(MIN(BT36:BT71)=9999,0,MIN(BT36:BT71))</f>
        <v/>
      </c>
      <c r="D29" s="32">
        <f>-MIN(BR36:BR71)</f>
        <v/>
      </c>
      <c r="E29" s="32">
        <f>SUM(BO60:BO71)</f>
        <v/>
      </c>
      <c r="F29" s="32">
        <f>SUM(BQ60:BQ71)</f>
        <v/>
      </c>
      <c r="G29" s="33">
        <f>BN71</f>
        <v/>
      </c>
    </row>
    <row r="31">
      <c r="A31" s="2" t="inlineStr">
        <is>
          <t>Zero em "1º mês positivo" ou "caixa volta a zero" significa que não acontece dentro dos 36 meses. A receita destes cenários já está líquida de participação e de impostos; a do Resumo é bruta, com os impostos em linha própria.</t>
        </is>
      </c>
    </row>
    <row r="33">
      <c r="A33" s="5" t="inlineStr">
        <is>
          <t>GRADE DE CÁLCULO — 36 meses por cenário (pode ocultar estas linhas)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6" t="n"/>
      <c r="BE33" s="6" t="n"/>
      <c r="BF33" s="6" t="n"/>
      <c r="BG33" s="6" t="n"/>
      <c r="BH33" s="6" t="n"/>
      <c r="BI33" s="6" t="n"/>
      <c r="BJ33" s="6" t="n"/>
      <c r="BK33" s="6" t="n"/>
      <c r="BL33" s="6" t="n"/>
      <c r="BM33" s="6" t="n"/>
      <c r="BN33" s="6" t="n"/>
      <c r="BO33" s="6" t="n"/>
      <c r="BP33" s="6" t="n"/>
      <c r="BQ33" s="6" t="n"/>
      <c r="BR33" s="6" t="n"/>
      <c r="BS33" s="6" t="n"/>
      <c r="BT33" s="6" t="n"/>
      <c r="BU33" s="6" t="n"/>
    </row>
    <row r="34">
      <c r="A34" s="3" t="inlineStr">
        <is>
          <t>Mês</t>
        </is>
      </c>
      <c r="C34" s="53" t="inlineStr">
        <is>
          <t>Base</t>
        </is>
      </c>
      <c r="D34" s="54" t="inlineStr">
        <is>
          <t>receita</t>
        </is>
      </c>
      <c r="E34" s="54" t="inlineStr">
        <is>
          <t>custos</t>
        </is>
      </c>
      <c r="F34" s="54" t="inlineStr">
        <is>
          <t>result.</t>
        </is>
      </c>
      <c r="G34" s="54" t="inlineStr">
        <is>
          <t>caixa</t>
        </is>
      </c>
      <c r="H34" s="54" t="inlineStr">
        <is>
          <t>aux+</t>
        </is>
      </c>
      <c r="I34" s="54" t="inlineStr">
        <is>
          <t>auxcx</t>
        </is>
      </c>
      <c r="J34" s="53" t="inlineStr">
        <is>
          <t>Adoção metade — 33% da rede</t>
        </is>
      </c>
      <c r="K34" s="54" t="inlineStr">
        <is>
          <t>receita</t>
        </is>
      </c>
      <c r="L34" s="54" t="inlineStr">
        <is>
          <t>custos</t>
        </is>
      </c>
      <c r="M34" s="54" t="inlineStr">
        <is>
          <t>result.</t>
        </is>
      </c>
      <c r="N34" s="54" t="inlineStr">
        <is>
          <t>caixa</t>
        </is>
      </c>
      <c r="O34" s="54" t="inlineStr">
        <is>
          <t>aux+</t>
        </is>
      </c>
      <c r="P34" s="54" t="inlineStr">
        <is>
          <t>auxcx</t>
        </is>
      </c>
      <c r="Q34" s="53" t="inlineStr">
        <is>
          <t>Homologação atrasa 6 meses</t>
        </is>
      </c>
      <c r="R34" s="54" t="inlineStr">
        <is>
          <t>receita</t>
        </is>
      </c>
      <c r="S34" s="54" t="inlineStr">
        <is>
          <t>custos</t>
        </is>
      </c>
      <c r="T34" s="54" t="inlineStr">
        <is>
          <t>result.</t>
        </is>
      </c>
      <c r="U34" s="54" t="inlineStr">
        <is>
          <t>caixa</t>
        </is>
      </c>
      <c r="V34" s="54" t="inlineStr">
        <is>
          <t>aux+</t>
        </is>
      </c>
      <c r="W34" s="54" t="inlineStr">
        <is>
          <t>auxcx</t>
        </is>
      </c>
      <c r="X34" s="53" t="inlineStr">
        <is>
          <t>Preço 20% menor</t>
        </is>
      </c>
      <c r="Y34" s="54" t="inlineStr">
        <is>
          <t>receita</t>
        </is>
      </c>
      <c r="Z34" s="54" t="inlineStr">
        <is>
          <t>custos</t>
        </is>
      </c>
      <c r="AA34" s="54" t="inlineStr">
        <is>
          <t>result.</t>
        </is>
      </c>
      <c r="AB34" s="54" t="inlineStr">
        <is>
          <t>caixa</t>
        </is>
      </c>
      <c r="AC34" s="54" t="inlineStr">
        <is>
          <t>aux+</t>
        </is>
      </c>
      <c r="AD34" s="54" t="inlineStr">
        <is>
          <t>auxcx</t>
        </is>
      </c>
      <c r="AE34" s="53" t="inlineStr">
        <is>
          <t>Sem o Painel da Rede</t>
        </is>
      </c>
      <c r="AF34" s="54" t="inlineStr">
        <is>
          <t>receita</t>
        </is>
      </c>
      <c r="AG34" s="54" t="inlineStr">
        <is>
          <t>custos</t>
        </is>
      </c>
      <c r="AH34" s="54" t="inlineStr">
        <is>
          <t>result.</t>
        </is>
      </c>
      <c r="AI34" s="54" t="inlineStr">
        <is>
          <t>caixa</t>
        </is>
      </c>
      <c r="AJ34" s="54" t="inlineStr">
        <is>
          <t>aux+</t>
        </is>
      </c>
      <c r="AK34" s="54" t="inlineStr">
        <is>
          <t>auxcx</t>
        </is>
      </c>
      <c r="AL34" s="53" t="inlineStr">
        <is>
          <t>Participação de 20% à franqueadora</t>
        </is>
      </c>
      <c r="AM34" s="54" t="inlineStr">
        <is>
          <t>receita</t>
        </is>
      </c>
      <c r="AN34" s="54" t="inlineStr">
        <is>
          <t>custos</t>
        </is>
      </c>
      <c r="AO34" s="54" t="inlineStr">
        <is>
          <t>result.</t>
        </is>
      </c>
      <c r="AP34" s="54" t="inlineStr">
        <is>
          <t>caixa</t>
        </is>
      </c>
      <c r="AQ34" s="54" t="inlineStr">
        <is>
          <t>aux+</t>
        </is>
      </c>
      <c r="AR34" s="54" t="inlineStr">
        <is>
          <t>auxcx</t>
        </is>
      </c>
      <c r="AS34" s="53" t="inlineStr">
        <is>
          <t>Participação de 35%</t>
        </is>
      </c>
      <c r="AT34" s="54" t="inlineStr">
        <is>
          <t>receita</t>
        </is>
      </c>
      <c r="AU34" s="54" t="inlineStr">
        <is>
          <t>custos</t>
        </is>
      </c>
      <c r="AV34" s="54" t="inlineStr">
        <is>
          <t>result.</t>
        </is>
      </c>
      <c r="AW34" s="54" t="inlineStr">
        <is>
          <t>caixa</t>
        </is>
      </c>
      <c r="AX34" s="54" t="inlineStr">
        <is>
          <t>aux+</t>
        </is>
      </c>
      <c r="AY34" s="54" t="inlineStr">
        <is>
          <t>auxcx</t>
        </is>
      </c>
      <c r="AZ34" s="53" t="inlineStr">
        <is>
          <t>Participação de 50%</t>
        </is>
      </c>
      <c r="BA34" s="54" t="inlineStr">
        <is>
          <t>receita</t>
        </is>
      </c>
      <c r="BB34" s="54" t="inlineStr">
        <is>
          <t>custos</t>
        </is>
      </c>
      <c r="BC34" s="54" t="inlineStr">
        <is>
          <t>result.</t>
        </is>
      </c>
      <c r="BD34" s="54" t="inlineStr">
        <is>
          <t>caixa</t>
        </is>
      </c>
      <c r="BE34" s="54" t="inlineStr">
        <is>
          <t>aux+</t>
        </is>
      </c>
      <c r="BF34" s="54" t="inlineStr">
        <is>
          <t>auxcx</t>
        </is>
      </c>
      <c r="BG34" s="53" t="inlineStr">
        <is>
          <t>Pior caso combinado</t>
        </is>
      </c>
      <c r="BH34" s="54" t="inlineStr">
        <is>
          <t>receita</t>
        </is>
      </c>
      <c r="BI34" s="54" t="inlineStr">
        <is>
          <t>custos</t>
        </is>
      </c>
      <c r="BJ34" s="54" t="inlineStr">
        <is>
          <t>result.</t>
        </is>
      </c>
      <c r="BK34" s="54" t="inlineStr">
        <is>
          <t>caixa</t>
        </is>
      </c>
      <c r="BL34" s="54" t="inlineStr">
        <is>
          <t>aux+</t>
        </is>
      </c>
      <c r="BM34" s="54" t="inlineStr">
        <is>
          <t>auxcx</t>
        </is>
      </c>
      <c r="BN34" s="53" t="inlineStr">
        <is>
          <t>Enxuta — sem pró-labore</t>
        </is>
      </c>
      <c r="BO34" s="54" t="inlineStr">
        <is>
          <t>receita</t>
        </is>
      </c>
      <c r="BP34" s="54" t="inlineStr">
        <is>
          <t>custos</t>
        </is>
      </c>
      <c r="BQ34" s="54" t="inlineStr">
        <is>
          <t>result.</t>
        </is>
      </c>
      <c r="BR34" s="54" t="inlineStr">
        <is>
          <t>caixa</t>
        </is>
      </c>
      <c r="BS34" s="54" t="inlineStr">
        <is>
          <t>aux+</t>
        </is>
      </c>
      <c r="BT34" s="54" t="inlineStr">
        <is>
          <t>auxcx</t>
        </is>
      </c>
    </row>
    <row r="36">
      <c r="A36" s="12" t="n">
        <v>1</v>
      </c>
      <c r="C36" s="55">
        <f>IF($A36-$D$6&lt;Premissas!$B$31,0,$C$6*(Premissas!$B$28+(Premissas!$B$29-Premissas!$B$28)*$A36/36)/(1+EXP(-Premissas!$B$33*($A36-$D$6-Premissas!$B$32))))</f>
        <v/>
      </c>
      <c r="D36" s="56">
        <f>(C36*$B$6+IF($A36&gt;=Premissas!$B$38+$D$6,$F$6,0))*(1-$E$6)*(1-Premissas!$B$53)</f>
        <v/>
      </c>
      <c r="E36" s="56">
        <f>-(C36*Premissas!$B$19+C36*Premissas!$B$24+IF($A36-$D$6&lt;=2,Premissas!$B$41,IF($A36-$D$6&lt;=5,Premissas!$B$42,IF($A36-$D$6&lt;=8,Premissas!$B$43,$G$6)))+IF($A36=1+$D$6,Premissas!$B$47,IF($A36=3+$D$6,Premissas!$B$48,IF($A36=6+$D$6,Premissas!$B$49,0))))</f>
        <v/>
      </c>
      <c r="F36" s="56">
        <f>D36+E36</f>
        <v/>
      </c>
      <c r="G36" s="56">
        <f>F36</f>
        <v/>
      </c>
      <c r="H36" s="57">
        <f>IF(F36&gt;0,$A36,9999)</f>
        <v/>
      </c>
      <c r="I36" s="57">
        <f>IF(G36&gt;0,$A36,9999)</f>
        <v/>
      </c>
      <c r="J36" s="55">
        <f>IF($A36-$D$7&lt;Premissas!$B$31,0,$C$7*(Premissas!$B$28+(Premissas!$B$29-Premissas!$B$28)*$A36/36)/(1+EXP(-Premissas!$B$33*($A36-$D$7-Premissas!$B$32))))</f>
        <v/>
      </c>
      <c r="K36" s="56">
        <f>(J36*$B$7+IF($A36&gt;=Premissas!$B$38+$D$7,$F$7,0))*(1-$E$7)*(1-Premissas!$B$53)</f>
        <v/>
      </c>
      <c r="L36" s="56">
        <f>-(J36*Premissas!$B$19+J36*Premissas!$B$24+IF($A36-$D$7&lt;=2,Premissas!$B$41,IF($A36-$D$7&lt;=5,Premissas!$B$42,IF($A36-$D$7&lt;=8,Premissas!$B$43,$G$7)))+IF($A36=1+$D$7,Premissas!$B$47,IF($A36=3+$D$7,Premissas!$B$48,IF($A36=6+$D$7,Premissas!$B$49,0))))</f>
        <v/>
      </c>
      <c r="M36" s="56">
        <f>K36+L36</f>
        <v/>
      </c>
      <c r="N36" s="56">
        <f>M36</f>
        <v/>
      </c>
      <c r="O36" s="57">
        <f>IF(M36&gt;0,$A36,9999)</f>
        <v/>
      </c>
      <c r="P36" s="57">
        <f>IF(N36&gt;0,$A36,9999)</f>
        <v/>
      </c>
      <c r="Q36" s="55">
        <f>IF($A36-$D$8&lt;Premissas!$B$31,0,$C$8*(Premissas!$B$28+(Premissas!$B$29-Premissas!$B$28)*$A36/36)/(1+EXP(-Premissas!$B$33*($A36-$D$8-Premissas!$B$32))))</f>
        <v/>
      </c>
      <c r="R36" s="56">
        <f>(Q36*$B$8+IF($A36&gt;=Premissas!$B$38+$D$8,$F$8,0))*(1-$E$8)*(1-Premissas!$B$53)</f>
        <v/>
      </c>
      <c r="S36" s="56">
        <f>-(Q36*Premissas!$B$19+Q36*Premissas!$B$24+IF($A36-$D$8&lt;=2,Premissas!$B$41,IF($A36-$D$8&lt;=5,Premissas!$B$42,IF($A36-$D$8&lt;=8,Premissas!$B$43,$G$8)))+IF($A36=1+$D$8,Premissas!$B$47,IF($A36=3+$D$8,Premissas!$B$48,IF($A36=6+$D$8,Premissas!$B$49,0))))</f>
        <v/>
      </c>
      <c r="T36" s="56">
        <f>R36+S36</f>
        <v/>
      </c>
      <c r="U36" s="56">
        <f>T36</f>
        <v/>
      </c>
      <c r="V36" s="57">
        <f>IF(T36&gt;0,$A36,9999)</f>
        <v/>
      </c>
      <c r="W36" s="57">
        <f>IF(U36&gt;0,$A36,9999)</f>
        <v/>
      </c>
      <c r="X36" s="55">
        <f>IF($A36-$D$9&lt;Premissas!$B$31,0,$C$9*(Premissas!$B$28+(Premissas!$B$29-Premissas!$B$28)*$A36/36)/(1+EXP(-Premissas!$B$33*($A36-$D$9-Premissas!$B$32))))</f>
        <v/>
      </c>
      <c r="Y36" s="56">
        <f>(X36*$B$9+IF($A36&gt;=Premissas!$B$38+$D$9,$F$9,0))*(1-$E$9)*(1-Premissas!$B$53)</f>
        <v/>
      </c>
      <c r="Z36" s="56">
        <f>-(X36*Premissas!$B$19+X36*Premissas!$B$24+IF($A36-$D$9&lt;=2,Premissas!$B$41,IF($A36-$D$9&lt;=5,Premissas!$B$42,IF($A36-$D$9&lt;=8,Premissas!$B$43,$G$9)))+IF($A36=1+$D$9,Premissas!$B$47,IF($A36=3+$D$9,Premissas!$B$48,IF($A36=6+$D$9,Premissas!$B$49,0))))</f>
        <v/>
      </c>
      <c r="AA36" s="56">
        <f>Y36+Z36</f>
        <v/>
      </c>
      <c r="AB36" s="56">
        <f>AA36</f>
        <v/>
      </c>
      <c r="AC36" s="57">
        <f>IF(AA36&gt;0,$A36,9999)</f>
        <v/>
      </c>
      <c r="AD36" s="57">
        <f>IF(AB36&gt;0,$A36,9999)</f>
        <v/>
      </c>
      <c r="AE36" s="55">
        <f>IF($A36-$D$10&lt;Premissas!$B$31,0,$C$10*(Premissas!$B$28+(Premissas!$B$29-Premissas!$B$28)*$A36/36)/(1+EXP(-Premissas!$B$33*($A36-$D$10-Premissas!$B$32))))</f>
        <v/>
      </c>
      <c r="AF36" s="56">
        <f>(AE36*$B$10+IF($A36&gt;=Premissas!$B$38+$D$10,$F$10,0))*(1-$E$10)*(1-Premissas!$B$53)</f>
        <v/>
      </c>
      <c r="AG36" s="56">
        <f>-(AE36*Premissas!$B$19+AE36*Premissas!$B$24+IF($A36-$D$10&lt;=2,Premissas!$B$41,IF($A36-$D$10&lt;=5,Premissas!$B$42,IF($A36-$D$10&lt;=8,Premissas!$B$43,$G$10)))+IF($A36=1+$D$10,Premissas!$B$47,IF($A36=3+$D$10,Premissas!$B$48,IF($A36=6+$D$10,Premissas!$B$49,0))))</f>
        <v/>
      </c>
      <c r="AH36" s="56">
        <f>AF36+AG36</f>
        <v/>
      </c>
      <c r="AI36" s="56">
        <f>AH36</f>
        <v/>
      </c>
      <c r="AJ36" s="57">
        <f>IF(AH36&gt;0,$A36,9999)</f>
        <v/>
      </c>
      <c r="AK36" s="57">
        <f>IF(AI36&gt;0,$A36,9999)</f>
        <v/>
      </c>
      <c r="AL36" s="55">
        <f>IF($A36-$D$11&lt;Premissas!$B$31,0,$C$11*(Premissas!$B$28+(Premissas!$B$29-Premissas!$B$28)*$A36/36)/(1+EXP(-Premissas!$B$33*($A36-$D$11-Premissas!$B$32))))</f>
        <v/>
      </c>
      <c r="AM36" s="56">
        <f>(AL36*$B$11+IF($A36&gt;=Premissas!$B$38+$D$11,$F$11,0))*(1-$E$11)*(1-Premissas!$B$53)</f>
        <v/>
      </c>
      <c r="AN36" s="56">
        <f>-(AL36*Premissas!$B$19+AL36*Premissas!$B$24+IF($A36-$D$11&lt;=2,Premissas!$B$41,IF($A36-$D$11&lt;=5,Premissas!$B$42,IF($A36-$D$11&lt;=8,Premissas!$B$43,$G$11)))+IF($A36=1+$D$11,Premissas!$B$47,IF($A36=3+$D$11,Premissas!$B$48,IF($A36=6+$D$11,Premissas!$B$49,0))))</f>
        <v/>
      </c>
      <c r="AO36" s="56">
        <f>AM36+AN36</f>
        <v/>
      </c>
      <c r="AP36" s="56">
        <f>AO36</f>
        <v/>
      </c>
      <c r="AQ36" s="57">
        <f>IF(AO36&gt;0,$A36,9999)</f>
        <v/>
      </c>
      <c r="AR36" s="57">
        <f>IF(AP36&gt;0,$A36,9999)</f>
        <v/>
      </c>
      <c r="AS36" s="55">
        <f>IF($A36-$D$12&lt;Premissas!$B$31,0,$C$12*(Premissas!$B$28+(Premissas!$B$29-Premissas!$B$28)*$A36/36)/(1+EXP(-Premissas!$B$33*($A36-$D$12-Premissas!$B$32))))</f>
        <v/>
      </c>
      <c r="AT36" s="56">
        <f>(AS36*$B$12+IF($A36&gt;=Premissas!$B$38+$D$12,$F$12,0))*(1-$E$12)*(1-Premissas!$B$53)</f>
        <v/>
      </c>
      <c r="AU36" s="56">
        <f>-(AS36*Premissas!$B$19+AS36*Premissas!$B$24+IF($A36-$D$12&lt;=2,Premissas!$B$41,IF($A36-$D$12&lt;=5,Premissas!$B$42,IF($A36-$D$12&lt;=8,Premissas!$B$43,$G$12)))+IF($A36=1+$D$12,Premissas!$B$47,IF($A36=3+$D$12,Premissas!$B$48,IF($A36=6+$D$12,Premissas!$B$49,0))))</f>
        <v/>
      </c>
      <c r="AV36" s="56">
        <f>AT36+AU36</f>
        <v/>
      </c>
      <c r="AW36" s="56">
        <f>AV36</f>
        <v/>
      </c>
      <c r="AX36" s="57">
        <f>IF(AV36&gt;0,$A36,9999)</f>
        <v/>
      </c>
      <c r="AY36" s="57">
        <f>IF(AW36&gt;0,$A36,9999)</f>
        <v/>
      </c>
      <c r="AZ36" s="55">
        <f>IF($A36-$D$13&lt;Premissas!$B$31,0,$C$13*(Premissas!$B$28+(Premissas!$B$29-Premissas!$B$28)*$A36/36)/(1+EXP(-Premissas!$B$33*($A36-$D$13-Premissas!$B$32))))</f>
        <v/>
      </c>
      <c r="BA36" s="56">
        <f>(AZ36*$B$13+IF($A36&gt;=Premissas!$B$38+$D$13,$F$13,0))*(1-$E$13)*(1-Premissas!$B$53)</f>
        <v/>
      </c>
      <c r="BB36" s="56">
        <f>-(AZ36*Premissas!$B$19+AZ36*Premissas!$B$24+IF($A36-$D$13&lt;=2,Premissas!$B$41,IF($A36-$D$13&lt;=5,Premissas!$B$42,IF($A36-$D$13&lt;=8,Premissas!$B$43,$G$13)))+IF($A36=1+$D$13,Premissas!$B$47,IF($A36=3+$D$13,Premissas!$B$48,IF($A36=6+$D$13,Premissas!$B$49,0))))</f>
        <v/>
      </c>
      <c r="BC36" s="56">
        <f>BA36+BB36</f>
        <v/>
      </c>
      <c r="BD36" s="56">
        <f>BC36</f>
        <v/>
      </c>
      <c r="BE36" s="57">
        <f>IF(BC36&gt;0,$A36,9999)</f>
        <v/>
      </c>
      <c r="BF36" s="57">
        <f>IF(BD36&gt;0,$A36,9999)</f>
        <v/>
      </c>
      <c r="BG36" s="55">
        <f>IF($A36-$D$14&lt;Premissas!$B$31,0,$C$14*(Premissas!$B$28+(Premissas!$B$29-Premissas!$B$28)*$A36/36)/(1+EXP(-Premissas!$B$33*($A36-$D$14-Premissas!$B$32))))</f>
        <v/>
      </c>
      <c r="BH36" s="56">
        <f>(BG36*$B$14+IF($A36&gt;=Premissas!$B$38+$D$14,$F$14,0))*(1-$E$14)*(1-Premissas!$B$53)</f>
        <v/>
      </c>
      <c r="BI36" s="56">
        <f>-(BG36*Premissas!$B$19+BG36*Premissas!$B$24+IF($A36-$D$14&lt;=2,Premissas!$B$41,IF($A36-$D$14&lt;=5,Premissas!$B$42,IF($A36-$D$14&lt;=8,Premissas!$B$43,$G$14)))+IF($A36=1+$D$14,Premissas!$B$47,IF($A36=3+$D$14,Premissas!$B$48,IF($A36=6+$D$14,Premissas!$B$49,0))))</f>
        <v/>
      </c>
      <c r="BJ36" s="56">
        <f>BH36+BI36</f>
        <v/>
      </c>
      <c r="BK36" s="56">
        <f>BJ36</f>
        <v/>
      </c>
      <c r="BL36" s="57">
        <f>IF(BJ36&gt;0,$A36,9999)</f>
        <v/>
      </c>
      <c r="BM36" s="57">
        <f>IF(BK36&gt;0,$A36,9999)</f>
        <v/>
      </c>
      <c r="BN36" s="55">
        <f>IF($A36-$D$15&lt;Premissas!$B$31,0,$C$15*(Premissas!$B$28+(Premissas!$B$29-Premissas!$B$28)*$A36/36)/(1+EXP(-Premissas!$B$33*($A36-$D$15-Premissas!$B$32))))</f>
        <v/>
      </c>
      <c r="BO36" s="56">
        <f>(BN36*$B$15+IF($A36&gt;=Premissas!$B$38+$D$15,$F$15,0))*(1-$E$15)*(1-Premissas!$B$53)</f>
        <v/>
      </c>
      <c r="BP36" s="56">
        <f>-(BN36*Premissas!$B$19+BN36*Premissas!$B$24+IF($A36-$D$15&lt;=2,Premissas!$B$41,IF($A36-$D$15&lt;=5,Premissas!$B$42,IF($A36-$D$15&lt;=8,Premissas!$B$43,$G$15)))+IF($A36=1+$D$15,Premissas!$B$47,IF($A36=3+$D$15,Premissas!$B$48,IF($A36=6+$D$15,Premissas!$B$49,0))))</f>
        <v/>
      </c>
      <c r="BQ36" s="56">
        <f>BO36+BP36</f>
        <v/>
      </c>
      <c r="BR36" s="56">
        <f>BQ36</f>
        <v/>
      </c>
      <c r="BS36" s="57">
        <f>IF(BQ36&gt;0,$A36,9999)</f>
        <v/>
      </c>
      <c r="BT36" s="57">
        <f>IF(BR36&gt;0,$A36,9999)</f>
        <v/>
      </c>
    </row>
    <row r="37">
      <c r="A37" s="12" t="n">
        <v>2</v>
      </c>
      <c r="C37" s="55">
        <f>IF($A37-$D$6&lt;Premissas!$B$31,0,$C$6*(Premissas!$B$28+(Premissas!$B$29-Premissas!$B$28)*$A37/36)/(1+EXP(-Premissas!$B$33*($A37-$D$6-Premissas!$B$32))))</f>
        <v/>
      </c>
      <c r="D37" s="56">
        <f>(C37*$B$6+IF($A37&gt;=Premissas!$B$38+$D$6,$F$6,0))*(1-$E$6)*(1-Premissas!$B$53)</f>
        <v/>
      </c>
      <c r="E37" s="56">
        <f>-(C37*Premissas!$B$19+MAX(0,C37-C36)*Premissas!$B$24+IF($A37-$D$6&lt;=2,Premissas!$B$41,IF($A37-$D$6&lt;=5,Premissas!$B$42,IF($A37-$D$6&lt;=8,Premissas!$B$43,$G$6)))+IF($A37=1+$D$6,Premissas!$B$47,IF($A37=3+$D$6,Premissas!$B$48,IF($A37=6+$D$6,Premissas!$B$49,0))))</f>
        <v/>
      </c>
      <c r="F37" s="56">
        <f>D37+E37</f>
        <v/>
      </c>
      <c r="G37" s="56">
        <f>G36+F37</f>
        <v/>
      </c>
      <c r="H37" s="57">
        <f>IF(F37&gt;0,$A37,9999)</f>
        <v/>
      </c>
      <c r="I37" s="57">
        <f>IF(G37&gt;0,$A37,9999)</f>
        <v/>
      </c>
      <c r="J37" s="55">
        <f>IF($A37-$D$7&lt;Premissas!$B$31,0,$C$7*(Premissas!$B$28+(Premissas!$B$29-Premissas!$B$28)*$A37/36)/(1+EXP(-Premissas!$B$33*($A37-$D$7-Premissas!$B$32))))</f>
        <v/>
      </c>
      <c r="K37" s="56">
        <f>(J37*$B$7+IF($A37&gt;=Premissas!$B$38+$D$7,$F$7,0))*(1-$E$7)*(1-Premissas!$B$53)</f>
        <v/>
      </c>
      <c r="L37" s="56">
        <f>-(J37*Premissas!$B$19+MAX(0,J37-J36)*Premissas!$B$24+IF($A37-$D$7&lt;=2,Premissas!$B$41,IF($A37-$D$7&lt;=5,Premissas!$B$42,IF($A37-$D$7&lt;=8,Premissas!$B$43,$G$7)))+IF($A37=1+$D$7,Premissas!$B$47,IF($A37=3+$D$7,Premissas!$B$48,IF($A37=6+$D$7,Premissas!$B$49,0))))</f>
        <v/>
      </c>
      <c r="M37" s="56">
        <f>K37+L37</f>
        <v/>
      </c>
      <c r="N37" s="56">
        <f>N36+M37</f>
        <v/>
      </c>
      <c r="O37" s="57">
        <f>IF(M37&gt;0,$A37,9999)</f>
        <v/>
      </c>
      <c r="P37" s="57">
        <f>IF(N37&gt;0,$A37,9999)</f>
        <v/>
      </c>
      <c r="Q37" s="55">
        <f>IF($A37-$D$8&lt;Premissas!$B$31,0,$C$8*(Premissas!$B$28+(Premissas!$B$29-Premissas!$B$28)*$A37/36)/(1+EXP(-Premissas!$B$33*($A37-$D$8-Premissas!$B$32))))</f>
        <v/>
      </c>
      <c r="R37" s="56">
        <f>(Q37*$B$8+IF($A37&gt;=Premissas!$B$38+$D$8,$F$8,0))*(1-$E$8)*(1-Premissas!$B$53)</f>
        <v/>
      </c>
      <c r="S37" s="56">
        <f>-(Q37*Premissas!$B$19+MAX(0,Q37-Q36)*Premissas!$B$24+IF($A37-$D$8&lt;=2,Premissas!$B$41,IF($A37-$D$8&lt;=5,Premissas!$B$42,IF($A37-$D$8&lt;=8,Premissas!$B$43,$G$8)))+IF($A37=1+$D$8,Premissas!$B$47,IF($A37=3+$D$8,Premissas!$B$48,IF($A37=6+$D$8,Premissas!$B$49,0))))</f>
        <v/>
      </c>
      <c r="T37" s="56">
        <f>R37+S37</f>
        <v/>
      </c>
      <c r="U37" s="56">
        <f>U36+T37</f>
        <v/>
      </c>
      <c r="V37" s="57">
        <f>IF(T37&gt;0,$A37,9999)</f>
        <v/>
      </c>
      <c r="W37" s="57">
        <f>IF(U37&gt;0,$A37,9999)</f>
        <v/>
      </c>
      <c r="X37" s="55">
        <f>IF($A37-$D$9&lt;Premissas!$B$31,0,$C$9*(Premissas!$B$28+(Premissas!$B$29-Premissas!$B$28)*$A37/36)/(1+EXP(-Premissas!$B$33*($A37-$D$9-Premissas!$B$32))))</f>
        <v/>
      </c>
      <c r="Y37" s="56">
        <f>(X37*$B$9+IF($A37&gt;=Premissas!$B$38+$D$9,$F$9,0))*(1-$E$9)*(1-Premissas!$B$53)</f>
        <v/>
      </c>
      <c r="Z37" s="56">
        <f>-(X37*Premissas!$B$19+MAX(0,X37-X36)*Premissas!$B$24+IF($A37-$D$9&lt;=2,Premissas!$B$41,IF($A37-$D$9&lt;=5,Premissas!$B$42,IF($A37-$D$9&lt;=8,Premissas!$B$43,$G$9)))+IF($A37=1+$D$9,Premissas!$B$47,IF($A37=3+$D$9,Premissas!$B$48,IF($A37=6+$D$9,Premissas!$B$49,0))))</f>
        <v/>
      </c>
      <c r="AA37" s="56">
        <f>Y37+Z37</f>
        <v/>
      </c>
      <c r="AB37" s="56">
        <f>AB36+AA37</f>
        <v/>
      </c>
      <c r="AC37" s="57">
        <f>IF(AA37&gt;0,$A37,9999)</f>
        <v/>
      </c>
      <c r="AD37" s="57">
        <f>IF(AB37&gt;0,$A37,9999)</f>
        <v/>
      </c>
      <c r="AE37" s="55">
        <f>IF($A37-$D$10&lt;Premissas!$B$31,0,$C$10*(Premissas!$B$28+(Premissas!$B$29-Premissas!$B$28)*$A37/36)/(1+EXP(-Premissas!$B$33*($A37-$D$10-Premissas!$B$32))))</f>
        <v/>
      </c>
      <c r="AF37" s="56">
        <f>(AE37*$B$10+IF($A37&gt;=Premissas!$B$38+$D$10,$F$10,0))*(1-$E$10)*(1-Premissas!$B$53)</f>
        <v/>
      </c>
      <c r="AG37" s="56">
        <f>-(AE37*Premissas!$B$19+MAX(0,AE37-AE36)*Premissas!$B$24+IF($A37-$D$10&lt;=2,Premissas!$B$41,IF($A37-$D$10&lt;=5,Premissas!$B$42,IF($A37-$D$10&lt;=8,Premissas!$B$43,$G$10)))+IF($A37=1+$D$10,Premissas!$B$47,IF($A37=3+$D$10,Premissas!$B$48,IF($A37=6+$D$10,Premissas!$B$49,0))))</f>
        <v/>
      </c>
      <c r="AH37" s="56">
        <f>AF37+AG37</f>
        <v/>
      </c>
      <c r="AI37" s="56">
        <f>AI36+AH37</f>
        <v/>
      </c>
      <c r="AJ37" s="57">
        <f>IF(AH37&gt;0,$A37,9999)</f>
        <v/>
      </c>
      <c r="AK37" s="57">
        <f>IF(AI37&gt;0,$A37,9999)</f>
        <v/>
      </c>
      <c r="AL37" s="55">
        <f>IF($A37-$D$11&lt;Premissas!$B$31,0,$C$11*(Premissas!$B$28+(Premissas!$B$29-Premissas!$B$28)*$A37/36)/(1+EXP(-Premissas!$B$33*($A37-$D$11-Premissas!$B$32))))</f>
        <v/>
      </c>
      <c r="AM37" s="56">
        <f>(AL37*$B$11+IF($A37&gt;=Premissas!$B$38+$D$11,$F$11,0))*(1-$E$11)*(1-Premissas!$B$53)</f>
        <v/>
      </c>
      <c r="AN37" s="56">
        <f>-(AL37*Premissas!$B$19+MAX(0,AL37-AL36)*Premissas!$B$24+IF($A37-$D$11&lt;=2,Premissas!$B$41,IF($A37-$D$11&lt;=5,Premissas!$B$42,IF($A37-$D$11&lt;=8,Premissas!$B$43,$G$11)))+IF($A37=1+$D$11,Premissas!$B$47,IF($A37=3+$D$11,Premissas!$B$48,IF($A37=6+$D$11,Premissas!$B$49,0))))</f>
        <v/>
      </c>
      <c r="AO37" s="56">
        <f>AM37+AN37</f>
        <v/>
      </c>
      <c r="AP37" s="56">
        <f>AP36+AO37</f>
        <v/>
      </c>
      <c r="AQ37" s="57">
        <f>IF(AO37&gt;0,$A37,9999)</f>
        <v/>
      </c>
      <c r="AR37" s="57">
        <f>IF(AP37&gt;0,$A37,9999)</f>
        <v/>
      </c>
      <c r="AS37" s="55">
        <f>IF($A37-$D$12&lt;Premissas!$B$31,0,$C$12*(Premissas!$B$28+(Premissas!$B$29-Premissas!$B$28)*$A37/36)/(1+EXP(-Premissas!$B$33*($A37-$D$12-Premissas!$B$32))))</f>
        <v/>
      </c>
      <c r="AT37" s="56">
        <f>(AS37*$B$12+IF($A37&gt;=Premissas!$B$38+$D$12,$F$12,0))*(1-$E$12)*(1-Premissas!$B$53)</f>
        <v/>
      </c>
      <c r="AU37" s="56">
        <f>-(AS37*Premissas!$B$19+MAX(0,AS37-AS36)*Premissas!$B$24+IF($A37-$D$12&lt;=2,Premissas!$B$41,IF($A37-$D$12&lt;=5,Premissas!$B$42,IF($A37-$D$12&lt;=8,Premissas!$B$43,$G$12)))+IF($A37=1+$D$12,Premissas!$B$47,IF($A37=3+$D$12,Premissas!$B$48,IF($A37=6+$D$12,Premissas!$B$49,0))))</f>
        <v/>
      </c>
      <c r="AV37" s="56">
        <f>AT37+AU37</f>
        <v/>
      </c>
      <c r="AW37" s="56">
        <f>AW36+AV37</f>
        <v/>
      </c>
      <c r="AX37" s="57">
        <f>IF(AV37&gt;0,$A37,9999)</f>
        <v/>
      </c>
      <c r="AY37" s="57">
        <f>IF(AW37&gt;0,$A37,9999)</f>
        <v/>
      </c>
      <c r="AZ37" s="55">
        <f>IF($A37-$D$13&lt;Premissas!$B$31,0,$C$13*(Premissas!$B$28+(Premissas!$B$29-Premissas!$B$28)*$A37/36)/(1+EXP(-Premissas!$B$33*($A37-$D$13-Premissas!$B$32))))</f>
        <v/>
      </c>
      <c r="BA37" s="56">
        <f>(AZ37*$B$13+IF($A37&gt;=Premissas!$B$38+$D$13,$F$13,0))*(1-$E$13)*(1-Premissas!$B$53)</f>
        <v/>
      </c>
      <c r="BB37" s="56">
        <f>-(AZ37*Premissas!$B$19+MAX(0,AZ37-AZ36)*Premissas!$B$24+IF($A37-$D$13&lt;=2,Premissas!$B$41,IF($A37-$D$13&lt;=5,Premissas!$B$42,IF($A37-$D$13&lt;=8,Premissas!$B$43,$G$13)))+IF($A37=1+$D$13,Premissas!$B$47,IF($A37=3+$D$13,Premissas!$B$48,IF($A37=6+$D$13,Premissas!$B$49,0))))</f>
        <v/>
      </c>
      <c r="BC37" s="56">
        <f>BA37+BB37</f>
        <v/>
      </c>
      <c r="BD37" s="56">
        <f>BD36+BC37</f>
        <v/>
      </c>
      <c r="BE37" s="57">
        <f>IF(BC37&gt;0,$A37,9999)</f>
        <v/>
      </c>
      <c r="BF37" s="57">
        <f>IF(BD37&gt;0,$A37,9999)</f>
        <v/>
      </c>
      <c r="BG37" s="55">
        <f>IF($A37-$D$14&lt;Premissas!$B$31,0,$C$14*(Premissas!$B$28+(Premissas!$B$29-Premissas!$B$28)*$A37/36)/(1+EXP(-Premissas!$B$33*($A37-$D$14-Premissas!$B$32))))</f>
        <v/>
      </c>
      <c r="BH37" s="56">
        <f>(BG37*$B$14+IF($A37&gt;=Premissas!$B$38+$D$14,$F$14,0))*(1-$E$14)*(1-Premissas!$B$53)</f>
        <v/>
      </c>
      <c r="BI37" s="56">
        <f>-(BG37*Premissas!$B$19+MAX(0,BG37-BG36)*Premissas!$B$24+IF($A37-$D$14&lt;=2,Premissas!$B$41,IF($A37-$D$14&lt;=5,Premissas!$B$42,IF($A37-$D$14&lt;=8,Premissas!$B$43,$G$14)))+IF($A37=1+$D$14,Premissas!$B$47,IF($A37=3+$D$14,Premissas!$B$48,IF($A37=6+$D$14,Premissas!$B$49,0))))</f>
        <v/>
      </c>
      <c r="BJ37" s="56">
        <f>BH37+BI37</f>
        <v/>
      </c>
      <c r="BK37" s="56">
        <f>BK36+BJ37</f>
        <v/>
      </c>
      <c r="BL37" s="57">
        <f>IF(BJ37&gt;0,$A37,9999)</f>
        <v/>
      </c>
      <c r="BM37" s="57">
        <f>IF(BK37&gt;0,$A37,9999)</f>
        <v/>
      </c>
      <c r="BN37" s="55">
        <f>IF($A37-$D$15&lt;Premissas!$B$31,0,$C$15*(Premissas!$B$28+(Premissas!$B$29-Premissas!$B$28)*$A37/36)/(1+EXP(-Premissas!$B$33*($A37-$D$15-Premissas!$B$32))))</f>
        <v/>
      </c>
      <c r="BO37" s="56">
        <f>(BN37*$B$15+IF($A37&gt;=Premissas!$B$38+$D$15,$F$15,0))*(1-$E$15)*(1-Premissas!$B$53)</f>
        <v/>
      </c>
      <c r="BP37" s="56">
        <f>-(BN37*Premissas!$B$19+MAX(0,BN37-BN36)*Premissas!$B$24+IF($A37-$D$15&lt;=2,Premissas!$B$41,IF($A37-$D$15&lt;=5,Premissas!$B$42,IF($A37-$D$15&lt;=8,Premissas!$B$43,$G$15)))+IF($A37=1+$D$15,Premissas!$B$47,IF($A37=3+$D$15,Premissas!$B$48,IF($A37=6+$D$15,Premissas!$B$49,0))))</f>
        <v/>
      </c>
      <c r="BQ37" s="56">
        <f>BO37+BP37</f>
        <v/>
      </c>
      <c r="BR37" s="56">
        <f>BR36+BQ37</f>
        <v/>
      </c>
      <c r="BS37" s="57">
        <f>IF(BQ37&gt;0,$A37,9999)</f>
        <v/>
      </c>
      <c r="BT37" s="57">
        <f>IF(BR37&gt;0,$A37,9999)</f>
        <v/>
      </c>
    </row>
    <row r="38">
      <c r="A38" s="12" t="n">
        <v>3</v>
      </c>
      <c r="C38" s="55">
        <f>IF($A38-$D$6&lt;Premissas!$B$31,0,$C$6*(Premissas!$B$28+(Premissas!$B$29-Premissas!$B$28)*$A38/36)/(1+EXP(-Premissas!$B$33*($A38-$D$6-Premissas!$B$32))))</f>
        <v/>
      </c>
      <c r="D38" s="56">
        <f>(C38*$B$6+IF($A38&gt;=Premissas!$B$38+$D$6,$F$6,0))*(1-$E$6)*(1-Premissas!$B$53)</f>
        <v/>
      </c>
      <c r="E38" s="56">
        <f>-(C38*Premissas!$B$19+MAX(0,C38-C37)*Premissas!$B$24+IF($A38-$D$6&lt;=2,Premissas!$B$41,IF($A38-$D$6&lt;=5,Premissas!$B$42,IF($A38-$D$6&lt;=8,Premissas!$B$43,$G$6)))+IF($A38=1+$D$6,Premissas!$B$47,IF($A38=3+$D$6,Premissas!$B$48,IF($A38=6+$D$6,Premissas!$B$49,0))))</f>
        <v/>
      </c>
      <c r="F38" s="56">
        <f>D38+E38</f>
        <v/>
      </c>
      <c r="G38" s="56">
        <f>G37+F38</f>
        <v/>
      </c>
      <c r="H38" s="57">
        <f>IF(F38&gt;0,$A38,9999)</f>
        <v/>
      </c>
      <c r="I38" s="57">
        <f>IF(G38&gt;0,$A38,9999)</f>
        <v/>
      </c>
      <c r="J38" s="55">
        <f>IF($A38-$D$7&lt;Premissas!$B$31,0,$C$7*(Premissas!$B$28+(Premissas!$B$29-Premissas!$B$28)*$A38/36)/(1+EXP(-Premissas!$B$33*($A38-$D$7-Premissas!$B$32))))</f>
        <v/>
      </c>
      <c r="K38" s="56">
        <f>(J38*$B$7+IF($A38&gt;=Premissas!$B$38+$D$7,$F$7,0))*(1-$E$7)*(1-Premissas!$B$53)</f>
        <v/>
      </c>
      <c r="L38" s="56">
        <f>-(J38*Premissas!$B$19+MAX(0,J38-J37)*Premissas!$B$24+IF($A38-$D$7&lt;=2,Premissas!$B$41,IF($A38-$D$7&lt;=5,Premissas!$B$42,IF($A38-$D$7&lt;=8,Premissas!$B$43,$G$7)))+IF($A38=1+$D$7,Premissas!$B$47,IF($A38=3+$D$7,Premissas!$B$48,IF($A38=6+$D$7,Premissas!$B$49,0))))</f>
        <v/>
      </c>
      <c r="M38" s="56">
        <f>K38+L38</f>
        <v/>
      </c>
      <c r="N38" s="56">
        <f>N37+M38</f>
        <v/>
      </c>
      <c r="O38" s="57">
        <f>IF(M38&gt;0,$A38,9999)</f>
        <v/>
      </c>
      <c r="P38" s="57">
        <f>IF(N38&gt;0,$A38,9999)</f>
        <v/>
      </c>
      <c r="Q38" s="55">
        <f>IF($A38-$D$8&lt;Premissas!$B$31,0,$C$8*(Premissas!$B$28+(Premissas!$B$29-Premissas!$B$28)*$A38/36)/(1+EXP(-Premissas!$B$33*($A38-$D$8-Premissas!$B$32))))</f>
        <v/>
      </c>
      <c r="R38" s="56">
        <f>(Q38*$B$8+IF($A38&gt;=Premissas!$B$38+$D$8,$F$8,0))*(1-$E$8)*(1-Premissas!$B$53)</f>
        <v/>
      </c>
      <c r="S38" s="56">
        <f>-(Q38*Premissas!$B$19+MAX(0,Q38-Q37)*Premissas!$B$24+IF($A38-$D$8&lt;=2,Premissas!$B$41,IF($A38-$D$8&lt;=5,Premissas!$B$42,IF($A38-$D$8&lt;=8,Premissas!$B$43,$G$8)))+IF($A38=1+$D$8,Premissas!$B$47,IF($A38=3+$D$8,Premissas!$B$48,IF($A38=6+$D$8,Premissas!$B$49,0))))</f>
        <v/>
      </c>
      <c r="T38" s="56">
        <f>R38+S38</f>
        <v/>
      </c>
      <c r="U38" s="56">
        <f>U37+T38</f>
        <v/>
      </c>
      <c r="V38" s="57">
        <f>IF(T38&gt;0,$A38,9999)</f>
        <v/>
      </c>
      <c r="W38" s="57">
        <f>IF(U38&gt;0,$A38,9999)</f>
        <v/>
      </c>
      <c r="X38" s="55">
        <f>IF($A38-$D$9&lt;Premissas!$B$31,0,$C$9*(Premissas!$B$28+(Premissas!$B$29-Premissas!$B$28)*$A38/36)/(1+EXP(-Premissas!$B$33*($A38-$D$9-Premissas!$B$32))))</f>
        <v/>
      </c>
      <c r="Y38" s="56">
        <f>(X38*$B$9+IF($A38&gt;=Premissas!$B$38+$D$9,$F$9,0))*(1-$E$9)*(1-Premissas!$B$53)</f>
        <v/>
      </c>
      <c r="Z38" s="56">
        <f>-(X38*Premissas!$B$19+MAX(0,X38-X37)*Premissas!$B$24+IF($A38-$D$9&lt;=2,Premissas!$B$41,IF($A38-$D$9&lt;=5,Premissas!$B$42,IF($A38-$D$9&lt;=8,Premissas!$B$43,$G$9)))+IF($A38=1+$D$9,Premissas!$B$47,IF($A38=3+$D$9,Premissas!$B$48,IF($A38=6+$D$9,Premissas!$B$49,0))))</f>
        <v/>
      </c>
      <c r="AA38" s="56">
        <f>Y38+Z38</f>
        <v/>
      </c>
      <c r="AB38" s="56">
        <f>AB37+AA38</f>
        <v/>
      </c>
      <c r="AC38" s="57">
        <f>IF(AA38&gt;0,$A38,9999)</f>
        <v/>
      </c>
      <c r="AD38" s="57">
        <f>IF(AB38&gt;0,$A38,9999)</f>
        <v/>
      </c>
      <c r="AE38" s="55">
        <f>IF($A38-$D$10&lt;Premissas!$B$31,0,$C$10*(Premissas!$B$28+(Premissas!$B$29-Premissas!$B$28)*$A38/36)/(1+EXP(-Premissas!$B$33*($A38-$D$10-Premissas!$B$32))))</f>
        <v/>
      </c>
      <c r="AF38" s="56">
        <f>(AE38*$B$10+IF($A38&gt;=Premissas!$B$38+$D$10,$F$10,0))*(1-$E$10)*(1-Premissas!$B$53)</f>
        <v/>
      </c>
      <c r="AG38" s="56">
        <f>-(AE38*Premissas!$B$19+MAX(0,AE38-AE37)*Premissas!$B$24+IF($A38-$D$10&lt;=2,Premissas!$B$41,IF($A38-$D$10&lt;=5,Premissas!$B$42,IF($A38-$D$10&lt;=8,Premissas!$B$43,$G$10)))+IF($A38=1+$D$10,Premissas!$B$47,IF($A38=3+$D$10,Premissas!$B$48,IF($A38=6+$D$10,Premissas!$B$49,0))))</f>
        <v/>
      </c>
      <c r="AH38" s="56">
        <f>AF38+AG38</f>
        <v/>
      </c>
      <c r="AI38" s="56">
        <f>AI37+AH38</f>
        <v/>
      </c>
      <c r="AJ38" s="57">
        <f>IF(AH38&gt;0,$A38,9999)</f>
        <v/>
      </c>
      <c r="AK38" s="57">
        <f>IF(AI38&gt;0,$A38,9999)</f>
        <v/>
      </c>
      <c r="AL38" s="55">
        <f>IF($A38-$D$11&lt;Premissas!$B$31,0,$C$11*(Premissas!$B$28+(Premissas!$B$29-Premissas!$B$28)*$A38/36)/(1+EXP(-Premissas!$B$33*($A38-$D$11-Premissas!$B$32))))</f>
        <v/>
      </c>
      <c r="AM38" s="56">
        <f>(AL38*$B$11+IF($A38&gt;=Premissas!$B$38+$D$11,$F$11,0))*(1-$E$11)*(1-Premissas!$B$53)</f>
        <v/>
      </c>
      <c r="AN38" s="56">
        <f>-(AL38*Premissas!$B$19+MAX(0,AL38-AL37)*Premissas!$B$24+IF($A38-$D$11&lt;=2,Premissas!$B$41,IF($A38-$D$11&lt;=5,Premissas!$B$42,IF($A38-$D$11&lt;=8,Premissas!$B$43,$G$11)))+IF($A38=1+$D$11,Premissas!$B$47,IF($A38=3+$D$11,Premissas!$B$48,IF($A38=6+$D$11,Premissas!$B$49,0))))</f>
        <v/>
      </c>
      <c r="AO38" s="56">
        <f>AM38+AN38</f>
        <v/>
      </c>
      <c r="AP38" s="56">
        <f>AP37+AO38</f>
        <v/>
      </c>
      <c r="AQ38" s="57">
        <f>IF(AO38&gt;0,$A38,9999)</f>
        <v/>
      </c>
      <c r="AR38" s="57">
        <f>IF(AP38&gt;0,$A38,9999)</f>
        <v/>
      </c>
      <c r="AS38" s="55">
        <f>IF($A38-$D$12&lt;Premissas!$B$31,0,$C$12*(Premissas!$B$28+(Premissas!$B$29-Premissas!$B$28)*$A38/36)/(1+EXP(-Premissas!$B$33*($A38-$D$12-Premissas!$B$32))))</f>
        <v/>
      </c>
      <c r="AT38" s="56">
        <f>(AS38*$B$12+IF($A38&gt;=Premissas!$B$38+$D$12,$F$12,0))*(1-$E$12)*(1-Premissas!$B$53)</f>
        <v/>
      </c>
      <c r="AU38" s="56">
        <f>-(AS38*Premissas!$B$19+MAX(0,AS38-AS37)*Premissas!$B$24+IF($A38-$D$12&lt;=2,Premissas!$B$41,IF($A38-$D$12&lt;=5,Premissas!$B$42,IF($A38-$D$12&lt;=8,Premissas!$B$43,$G$12)))+IF($A38=1+$D$12,Premissas!$B$47,IF($A38=3+$D$12,Premissas!$B$48,IF($A38=6+$D$12,Premissas!$B$49,0))))</f>
        <v/>
      </c>
      <c r="AV38" s="56">
        <f>AT38+AU38</f>
        <v/>
      </c>
      <c r="AW38" s="56">
        <f>AW37+AV38</f>
        <v/>
      </c>
      <c r="AX38" s="57">
        <f>IF(AV38&gt;0,$A38,9999)</f>
        <v/>
      </c>
      <c r="AY38" s="57">
        <f>IF(AW38&gt;0,$A38,9999)</f>
        <v/>
      </c>
      <c r="AZ38" s="55">
        <f>IF($A38-$D$13&lt;Premissas!$B$31,0,$C$13*(Premissas!$B$28+(Premissas!$B$29-Premissas!$B$28)*$A38/36)/(1+EXP(-Premissas!$B$33*($A38-$D$13-Premissas!$B$32))))</f>
        <v/>
      </c>
      <c r="BA38" s="56">
        <f>(AZ38*$B$13+IF($A38&gt;=Premissas!$B$38+$D$13,$F$13,0))*(1-$E$13)*(1-Premissas!$B$53)</f>
        <v/>
      </c>
      <c r="BB38" s="56">
        <f>-(AZ38*Premissas!$B$19+MAX(0,AZ38-AZ37)*Premissas!$B$24+IF($A38-$D$13&lt;=2,Premissas!$B$41,IF($A38-$D$13&lt;=5,Premissas!$B$42,IF($A38-$D$13&lt;=8,Premissas!$B$43,$G$13)))+IF($A38=1+$D$13,Premissas!$B$47,IF($A38=3+$D$13,Premissas!$B$48,IF($A38=6+$D$13,Premissas!$B$49,0))))</f>
        <v/>
      </c>
      <c r="BC38" s="56">
        <f>BA38+BB38</f>
        <v/>
      </c>
      <c r="BD38" s="56">
        <f>BD37+BC38</f>
        <v/>
      </c>
      <c r="BE38" s="57">
        <f>IF(BC38&gt;0,$A38,9999)</f>
        <v/>
      </c>
      <c r="BF38" s="57">
        <f>IF(BD38&gt;0,$A38,9999)</f>
        <v/>
      </c>
      <c r="BG38" s="55">
        <f>IF($A38-$D$14&lt;Premissas!$B$31,0,$C$14*(Premissas!$B$28+(Premissas!$B$29-Premissas!$B$28)*$A38/36)/(1+EXP(-Premissas!$B$33*($A38-$D$14-Premissas!$B$32))))</f>
        <v/>
      </c>
      <c r="BH38" s="56">
        <f>(BG38*$B$14+IF($A38&gt;=Premissas!$B$38+$D$14,$F$14,0))*(1-$E$14)*(1-Premissas!$B$53)</f>
        <v/>
      </c>
      <c r="BI38" s="56">
        <f>-(BG38*Premissas!$B$19+MAX(0,BG38-BG37)*Premissas!$B$24+IF($A38-$D$14&lt;=2,Premissas!$B$41,IF($A38-$D$14&lt;=5,Premissas!$B$42,IF($A38-$D$14&lt;=8,Premissas!$B$43,$G$14)))+IF($A38=1+$D$14,Premissas!$B$47,IF($A38=3+$D$14,Premissas!$B$48,IF($A38=6+$D$14,Premissas!$B$49,0))))</f>
        <v/>
      </c>
      <c r="BJ38" s="56">
        <f>BH38+BI38</f>
        <v/>
      </c>
      <c r="BK38" s="56">
        <f>BK37+BJ38</f>
        <v/>
      </c>
      <c r="BL38" s="57">
        <f>IF(BJ38&gt;0,$A38,9999)</f>
        <v/>
      </c>
      <c r="BM38" s="57">
        <f>IF(BK38&gt;0,$A38,9999)</f>
        <v/>
      </c>
      <c r="BN38" s="55">
        <f>IF($A38-$D$15&lt;Premissas!$B$31,0,$C$15*(Premissas!$B$28+(Premissas!$B$29-Premissas!$B$28)*$A38/36)/(1+EXP(-Premissas!$B$33*($A38-$D$15-Premissas!$B$32))))</f>
        <v/>
      </c>
      <c r="BO38" s="56">
        <f>(BN38*$B$15+IF($A38&gt;=Premissas!$B$38+$D$15,$F$15,0))*(1-$E$15)*(1-Premissas!$B$53)</f>
        <v/>
      </c>
      <c r="BP38" s="56">
        <f>-(BN38*Premissas!$B$19+MAX(0,BN38-BN37)*Premissas!$B$24+IF($A38-$D$15&lt;=2,Premissas!$B$41,IF($A38-$D$15&lt;=5,Premissas!$B$42,IF($A38-$D$15&lt;=8,Premissas!$B$43,$G$15)))+IF($A38=1+$D$15,Premissas!$B$47,IF($A38=3+$D$15,Premissas!$B$48,IF($A38=6+$D$15,Premissas!$B$49,0))))</f>
        <v/>
      </c>
      <c r="BQ38" s="56">
        <f>BO38+BP38</f>
        <v/>
      </c>
      <c r="BR38" s="56">
        <f>BR37+BQ38</f>
        <v/>
      </c>
      <c r="BS38" s="57">
        <f>IF(BQ38&gt;0,$A38,9999)</f>
        <v/>
      </c>
      <c r="BT38" s="57">
        <f>IF(BR38&gt;0,$A38,9999)</f>
        <v/>
      </c>
    </row>
    <row r="39">
      <c r="A39" s="12" t="n">
        <v>4</v>
      </c>
      <c r="C39" s="55">
        <f>IF($A39-$D$6&lt;Premissas!$B$31,0,$C$6*(Premissas!$B$28+(Premissas!$B$29-Premissas!$B$28)*$A39/36)/(1+EXP(-Premissas!$B$33*($A39-$D$6-Premissas!$B$32))))</f>
        <v/>
      </c>
      <c r="D39" s="56">
        <f>(C39*$B$6+IF($A39&gt;=Premissas!$B$38+$D$6,$F$6,0))*(1-$E$6)*(1-Premissas!$B$53)</f>
        <v/>
      </c>
      <c r="E39" s="56">
        <f>-(C39*Premissas!$B$19+MAX(0,C39-C38)*Premissas!$B$24+IF($A39-$D$6&lt;=2,Premissas!$B$41,IF($A39-$D$6&lt;=5,Premissas!$B$42,IF($A39-$D$6&lt;=8,Premissas!$B$43,$G$6)))+IF($A39=1+$D$6,Premissas!$B$47,IF($A39=3+$D$6,Premissas!$B$48,IF($A39=6+$D$6,Premissas!$B$49,0))))</f>
        <v/>
      </c>
      <c r="F39" s="56">
        <f>D39+E39</f>
        <v/>
      </c>
      <c r="G39" s="56">
        <f>G38+F39</f>
        <v/>
      </c>
      <c r="H39" s="57">
        <f>IF(F39&gt;0,$A39,9999)</f>
        <v/>
      </c>
      <c r="I39" s="57">
        <f>IF(G39&gt;0,$A39,9999)</f>
        <v/>
      </c>
      <c r="J39" s="55">
        <f>IF($A39-$D$7&lt;Premissas!$B$31,0,$C$7*(Premissas!$B$28+(Premissas!$B$29-Premissas!$B$28)*$A39/36)/(1+EXP(-Premissas!$B$33*($A39-$D$7-Premissas!$B$32))))</f>
        <v/>
      </c>
      <c r="K39" s="56">
        <f>(J39*$B$7+IF($A39&gt;=Premissas!$B$38+$D$7,$F$7,0))*(1-$E$7)*(1-Premissas!$B$53)</f>
        <v/>
      </c>
      <c r="L39" s="56">
        <f>-(J39*Premissas!$B$19+MAX(0,J39-J38)*Premissas!$B$24+IF($A39-$D$7&lt;=2,Premissas!$B$41,IF($A39-$D$7&lt;=5,Premissas!$B$42,IF($A39-$D$7&lt;=8,Premissas!$B$43,$G$7)))+IF($A39=1+$D$7,Premissas!$B$47,IF($A39=3+$D$7,Premissas!$B$48,IF($A39=6+$D$7,Premissas!$B$49,0))))</f>
        <v/>
      </c>
      <c r="M39" s="56">
        <f>K39+L39</f>
        <v/>
      </c>
      <c r="N39" s="56">
        <f>N38+M39</f>
        <v/>
      </c>
      <c r="O39" s="57">
        <f>IF(M39&gt;0,$A39,9999)</f>
        <v/>
      </c>
      <c r="P39" s="57">
        <f>IF(N39&gt;0,$A39,9999)</f>
        <v/>
      </c>
      <c r="Q39" s="55">
        <f>IF($A39-$D$8&lt;Premissas!$B$31,0,$C$8*(Premissas!$B$28+(Premissas!$B$29-Premissas!$B$28)*$A39/36)/(1+EXP(-Premissas!$B$33*($A39-$D$8-Premissas!$B$32))))</f>
        <v/>
      </c>
      <c r="R39" s="56">
        <f>(Q39*$B$8+IF($A39&gt;=Premissas!$B$38+$D$8,$F$8,0))*(1-$E$8)*(1-Premissas!$B$53)</f>
        <v/>
      </c>
      <c r="S39" s="56">
        <f>-(Q39*Premissas!$B$19+MAX(0,Q39-Q38)*Premissas!$B$24+IF($A39-$D$8&lt;=2,Premissas!$B$41,IF($A39-$D$8&lt;=5,Premissas!$B$42,IF($A39-$D$8&lt;=8,Premissas!$B$43,$G$8)))+IF($A39=1+$D$8,Premissas!$B$47,IF($A39=3+$D$8,Premissas!$B$48,IF($A39=6+$D$8,Premissas!$B$49,0))))</f>
        <v/>
      </c>
      <c r="T39" s="56">
        <f>R39+S39</f>
        <v/>
      </c>
      <c r="U39" s="56">
        <f>U38+T39</f>
        <v/>
      </c>
      <c r="V39" s="57">
        <f>IF(T39&gt;0,$A39,9999)</f>
        <v/>
      </c>
      <c r="W39" s="57">
        <f>IF(U39&gt;0,$A39,9999)</f>
        <v/>
      </c>
      <c r="X39" s="55">
        <f>IF($A39-$D$9&lt;Premissas!$B$31,0,$C$9*(Premissas!$B$28+(Premissas!$B$29-Premissas!$B$28)*$A39/36)/(1+EXP(-Premissas!$B$33*($A39-$D$9-Premissas!$B$32))))</f>
        <v/>
      </c>
      <c r="Y39" s="56">
        <f>(X39*$B$9+IF($A39&gt;=Premissas!$B$38+$D$9,$F$9,0))*(1-$E$9)*(1-Premissas!$B$53)</f>
        <v/>
      </c>
      <c r="Z39" s="56">
        <f>-(X39*Premissas!$B$19+MAX(0,X39-X38)*Premissas!$B$24+IF($A39-$D$9&lt;=2,Premissas!$B$41,IF($A39-$D$9&lt;=5,Premissas!$B$42,IF($A39-$D$9&lt;=8,Premissas!$B$43,$G$9)))+IF($A39=1+$D$9,Premissas!$B$47,IF($A39=3+$D$9,Premissas!$B$48,IF($A39=6+$D$9,Premissas!$B$49,0))))</f>
        <v/>
      </c>
      <c r="AA39" s="56">
        <f>Y39+Z39</f>
        <v/>
      </c>
      <c r="AB39" s="56">
        <f>AB38+AA39</f>
        <v/>
      </c>
      <c r="AC39" s="57">
        <f>IF(AA39&gt;0,$A39,9999)</f>
        <v/>
      </c>
      <c r="AD39" s="57">
        <f>IF(AB39&gt;0,$A39,9999)</f>
        <v/>
      </c>
      <c r="AE39" s="55">
        <f>IF($A39-$D$10&lt;Premissas!$B$31,0,$C$10*(Premissas!$B$28+(Premissas!$B$29-Premissas!$B$28)*$A39/36)/(1+EXP(-Premissas!$B$33*($A39-$D$10-Premissas!$B$32))))</f>
        <v/>
      </c>
      <c r="AF39" s="56">
        <f>(AE39*$B$10+IF($A39&gt;=Premissas!$B$38+$D$10,$F$10,0))*(1-$E$10)*(1-Premissas!$B$53)</f>
        <v/>
      </c>
      <c r="AG39" s="56">
        <f>-(AE39*Premissas!$B$19+MAX(0,AE39-AE38)*Premissas!$B$24+IF($A39-$D$10&lt;=2,Premissas!$B$41,IF($A39-$D$10&lt;=5,Premissas!$B$42,IF($A39-$D$10&lt;=8,Premissas!$B$43,$G$10)))+IF($A39=1+$D$10,Premissas!$B$47,IF($A39=3+$D$10,Premissas!$B$48,IF($A39=6+$D$10,Premissas!$B$49,0))))</f>
        <v/>
      </c>
      <c r="AH39" s="56">
        <f>AF39+AG39</f>
        <v/>
      </c>
      <c r="AI39" s="56">
        <f>AI38+AH39</f>
        <v/>
      </c>
      <c r="AJ39" s="57">
        <f>IF(AH39&gt;0,$A39,9999)</f>
        <v/>
      </c>
      <c r="AK39" s="57">
        <f>IF(AI39&gt;0,$A39,9999)</f>
        <v/>
      </c>
      <c r="AL39" s="55">
        <f>IF($A39-$D$11&lt;Premissas!$B$31,0,$C$11*(Premissas!$B$28+(Premissas!$B$29-Premissas!$B$28)*$A39/36)/(1+EXP(-Premissas!$B$33*($A39-$D$11-Premissas!$B$32))))</f>
        <v/>
      </c>
      <c r="AM39" s="56">
        <f>(AL39*$B$11+IF($A39&gt;=Premissas!$B$38+$D$11,$F$11,0))*(1-$E$11)*(1-Premissas!$B$53)</f>
        <v/>
      </c>
      <c r="AN39" s="56">
        <f>-(AL39*Premissas!$B$19+MAX(0,AL39-AL38)*Premissas!$B$24+IF($A39-$D$11&lt;=2,Premissas!$B$41,IF($A39-$D$11&lt;=5,Premissas!$B$42,IF($A39-$D$11&lt;=8,Premissas!$B$43,$G$11)))+IF($A39=1+$D$11,Premissas!$B$47,IF($A39=3+$D$11,Premissas!$B$48,IF($A39=6+$D$11,Premissas!$B$49,0))))</f>
        <v/>
      </c>
      <c r="AO39" s="56">
        <f>AM39+AN39</f>
        <v/>
      </c>
      <c r="AP39" s="56">
        <f>AP38+AO39</f>
        <v/>
      </c>
      <c r="AQ39" s="57">
        <f>IF(AO39&gt;0,$A39,9999)</f>
        <v/>
      </c>
      <c r="AR39" s="57">
        <f>IF(AP39&gt;0,$A39,9999)</f>
        <v/>
      </c>
      <c r="AS39" s="55">
        <f>IF($A39-$D$12&lt;Premissas!$B$31,0,$C$12*(Premissas!$B$28+(Premissas!$B$29-Premissas!$B$28)*$A39/36)/(1+EXP(-Premissas!$B$33*($A39-$D$12-Premissas!$B$32))))</f>
        <v/>
      </c>
      <c r="AT39" s="56">
        <f>(AS39*$B$12+IF($A39&gt;=Premissas!$B$38+$D$12,$F$12,0))*(1-$E$12)*(1-Premissas!$B$53)</f>
        <v/>
      </c>
      <c r="AU39" s="56">
        <f>-(AS39*Premissas!$B$19+MAX(0,AS39-AS38)*Premissas!$B$24+IF($A39-$D$12&lt;=2,Premissas!$B$41,IF($A39-$D$12&lt;=5,Premissas!$B$42,IF($A39-$D$12&lt;=8,Premissas!$B$43,$G$12)))+IF($A39=1+$D$12,Premissas!$B$47,IF($A39=3+$D$12,Premissas!$B$48,IF($A39=6+$D$12,Premissas!$B$49,0))))</f>
        <v/>
      </c>
      <c r="AV39" s="56">
        <f>AT39+AU39</f>
        <v/>
      </c>
      <c r="AW39" s="56">
        <f>AW38+AV39</f>
        <v/>
      </c>
      <c r="AX39" s="57">
        <f>IF(AV39&gt;0,$A39,9999)</f>
        <v/>
      </c>
      <c r="AY39" s="57">
        <f>IF(AW39&gt;0,$A39,9999)</f>
        <v/>
      </c>
      <c r="AZ39" s="55">
        <f>IF($A39-$D$13&lt;Premissas!$B$31,0,$C$13*(Premissas!$B$28+(Premissas!$B$29-Premissas!$B$28)*$A39/36)/(1+EXP(-Premissas!$B$33*($A39-$D$13-Premissas!$B$32))))</f>
        <v/>
      </c>
      <c r="BA39" s="56">
        <f>(AZ39*$B$13+IF($A39&gt;=Premissas!$B$38+$D$13,$F$13,0))*(1-$E$13)*(1-Premissas!$B$53)</f>
        <v/>
      </c>
      <c r="BB39" s="56">
        <f>-(AZ39*Premissas!$B$19+MAX(0,AZ39-AZ38)*Premissas!$B$24+IF($A39-$D$13&lt;=2,Premissas!$B$41,IF($A39-$D$13&lt;=5,Premissas!$B$42,IF($A39-$D$13&lt;=8,Premissas!$B$43,$G$13)))+IF($A39=1+$D$13,Premissas!$B$47,IF($A39=3+$D$13,Premissas!$B$48,IF($A39=6+$D$13,Premissas!$B$49,0))))</f>
        <v/>
      </c>
      <c r="BC39" s="56">
        <f>BA39+BB39</f>
        <v/>
      </c>
      <c r="BD39" s="56">
        <f>BD38+BC39</f>
        <v/>
      </c>
      <c r="BE39" s="57">
        <f>IF(BC39&gt;0,$A39,9999)</f>
        <v/>
      </c>
      <c r="BF39" s="57">
        <f>IF(BD39&gt;0,$A39,9999)</f>
        <v/>
      </c>
      <c r="BG39" s="55">
        <f>IF($A39-$D$14&lt;Premissas!$B$31,0,$C$14*(Premissas!$B$28+(Premissas!$B$29-Premissas!$B$28)*$A39/36)/(1+EXP(-Premissas!$B$33*($A39-$D$14-Premissas!$B$32))))</f>
        <v/>
      </c>
      <c r="BH39" s="56">
        <f>(BG39*$B$14+IF($A39&gt;=Premissas!$B$38+$D$14,$F$14,0))*(1-$E$14)*(1-Premissas!$B$53)</f>
        <v/>
      </c>
      <c r="BI39" s="56">
        <f>-(BG39*Premissas!$B$19+MAX(0,BG39-BG38)*Premissas!$B$24+IF($A39-$D$14&lt;=2,Premissas!$B$41,IF($A39-$D$14&lt;=5,Premissas!$B$42,IF($A39-$D$14&lt;=8,Premissas!$B$43,$G$14)))+IF($A39=1+$D$14,Premissas!$B$47,IF($A39=3+$D$14,Premissas!$B$48,IF($A39=6+$D$14,Premissas!$B$49,0))))</f>
        <v/>
      </c>
      <c r="BJ39" s="56">
        <f>BH39+BI39</f>
        <v/>
      </c>
      <c r="BK39" s="56">
        <f>BK38+BJ39</f>
        <v/>
      </c>
      <c r="BL39" s="57">
        <f>IF(BJ39&gt;0,$A39,9999)</f>
        <v/>
      </c>
      <c r="BM39" s="57">
        <f>IF(BK39&gt;0,$A39,9999)</f>
        <v/>
      </c>
      <c r="BN39" s="55">
        <f>IF($A39-$D$15&lt;Premissas!$B$31,0,$C$15*(Premissas!$B$28+(Premissas!$B$29-Premissas!$B$28)*$A39/36)/(1+EXP(-Premissas!$B$33*($A39-$D$15-Premissas!$B$32))))</f>
        <v/>
      </c>
      <c r="BO39" s="56">
        <f>(BN39*$B$15+IF($A39&gt;=Premissas!$B$38+$D$15,$F$15,0))*(1-$E$15)*(1-Premissas!$B$53)</f>
        <v/>
      </c>
      <c r="BP39" s="56">
        <f>-(BN39*Premissas!$B$19+MAX(0,BN39-BN38)*Premissas!$B$24+IF($A39-$D$15&lt;=2,Premissas!$B$41,IF($A39-$D$15&lt;=5,Premissas!$B$42,IF($A39-$D$15&lt;=8,Premissas!$B$43,$G$15)))+IF($A39=1+$D$15,Premissas!$B$47,IF($A39=3+$D$15,Premissas!$B$48,IF($A39=6+$D$15,Premissas!$B$49,0))))</f>
        <v/>
      </c>
      <c r="BQ39" s="56">
        <f>BO39+BP39</f>
        <v/>
      </c>
      <c r="BR39" s="56">
        <f>BR38+BQ39</f>
        <v/>
      </c>
      <c r="BS39" s="57">
        <f>IF(BQ39&gt;0,$A39,9999)</f>
        <v/>
      </c>
      <c r="BT39" s="57">
        <f>IF(BR39&gt;0,$A39,9999)</f>
        <v/>
      </c>
    </row>
    <row r="40">
      <c r="A40" s="12" t="n">
        <v>5</v>
      </c>
      <c r="C40" s="55">
        <f>IF($A40-$D$6&lt;Premissas!$B$31,0,$C$6*(Premissas!$B$28+(Premissas!$B$29-Premissas!$B$28)*$A40/36)/(1+EXP(-Premissas!$B$33*($A40-$D$6-Premissas!$B$32))))</f>
        <v/>
      </c>
      <c r="D40" s="56">
        <f>(C40*$B$6+IF($A40&gt;=Premissas!$B$38+$D$6,$F$6,0))*(1-$E$6)*(1-Premissas!$B$53)</f>
        <v/>
      </c>
      <c r="E40" s="56">
        <f>-(C40*Premissas!$B$19+MAX(0,C40-C39)*Premissas!$B$24+IF($A40-$D$6&lt;=2,Premissas!$B$41,IF($A40-$D$6&lt;=5,Premissas!$B$42,IF($A40-$D$6&lt;=8,Premissas!$B$43,$G$6)))+IF($A40=1+$D$6,Premissas!$B$47,IF($A40=3+$D$6,Premissas!$B$48,IF($A40=6+$D$6,Premissas!$B$49,0))))</f>
        <v/>
      </c>
      <c r="F40" s="56">
        <f>D40+E40</f>
        <v/>
      </c>
      <c r="G40" s="56">
        <f>G39+F40</f>
        <v/>
      </c>
      <c r="H40" s="57">
        <f>IF(F40&gt;0,$A40,9999)</f>
        <v/>
      </c>
      <c r="I40" s="57">
        <f>IF(G40&gt;0,$A40,9999)</f>
        <v/>
      </c>
      <c r="J40" s="55">
        <f>IF($A40-$D$7&lt;Premissas!$B$31,0,$C$7*(Premissas!$B$28+(Premissas!$B$29-Premissas!$B$28)*$A40/36)/(1+EXP(-Premissas!$B$33*($A40-$D$7-Premissas!$B$32))))</f>
        <v/>
      </c>
      <c r="K40" s="56">
        <f>(J40*$B$7+IF($A40&gt;=Premissas!$B$38+$D$7,$F$7,0))*(1-$E$7)*(1-Premissas!$B$53)</f>
        <v/>
      </c>
      <c r="L40" s="56">
        <f>-(J40*Premissas!$B$19+MAX(0,J40-J39)*Premissas!$B$24+IF($A40-$D$7&lt;=2,Premissas!$B$41,IF($A40-$D$7&lt;=5,Premissas!$B$42,IF($A40-$D$7&lt;=8,Premissas!$B$43,$G$7)))+IF($A40=1+$D$7,Premissas!$B$47,IF($A40=3+$D$7,Premissas!$B$48,IF($A40=6+$D$7,Premissas!$B$49,0))))</f>
        <v/>
      </c>
      <c r="M40" s="56">
        <f>K40+L40</f>
        <v/>
      </c>
      <c r="N40" s="56">
        <f>N39+M40</f>
        <v/>
      </c>
      <c r="O40" s="57">
        <f>IF(M40&gt;0,$A40,9999)</f>
        <v/>
      </c>
      <c r="P40" s="57">
        <f>IF(N40&gt;0,$A40,9999)</f>
        <v/>
      </c>
      <c r="Q40" s="55">
        <f>IF($A40-$D$8&lt;Premissas!$B$31,0,$C$8*(Premissas!$B$28+(Premissas!$B$29-Premissas!$B$28)*$A40/36)/(1+EXP(-Premissas!$B$33*($A40-$D$8-Premissas!$B$32))))</f>
        <v/>
      </c>
      <c r="R40" s="56">
        <f>(Q40*$B$8+IF($A40&gt;=Premissas!$B$38+$D$8,$F$8,0))*(1-$E$8)*(1-Premissas!$B$53)</f>
        <v/>
      </c>
      <c r="S40" s="56">
        <f>-(Q40*Premissas!$B$19+MAX(0,Q40-Q39)*Premissas!$B$24+IF($A40-$D$8&lt;=2,Premissas!$B$41,IF($A40-$D$8&lt;=5,Premissas!$B$42,IF($A40-$D$8&lt;=8,Premissas!$B$43,$G$8)))+IF($A40=1+$D$8,Premissas!$B$47,IF($A40=3+$D$8,Premissas!$B$48,IF($A40=6+$D$8,Premissas!$B$49,0))))</f>
        <v/>
      </c>
      <c r="T40" s="56">
        <f>R40+S40</f>
        <v/>
      </c>
      <c r="U40" s="56">
        <f>U39+T40</f>
        <v/>
      </c>
      <c r="V40" s="57">
        <f>IF(T40&gt;0,$A40,9999)</f>
        <v/>
      </c>
      <c r="W40" s="57">
        <f>IF(U40&gt;0,$A40,9999)</f>
        <v/>
      </c>
      <c r="X40" s="55">
        <f>IF($A40-$D$9&lt;Premissas!$B$31,0,$C$9*(Premissas!$B$28+(Premissas!$B$29-Premissas!$B$28)*$A40/36)/(1+EXP(-Premissas!$B$33*($A40-$D$9-Premissas!$B$32))))</f>
        <v/>
      </c>
      <c r="Y40" s="56">
        <f>(X40*$B$9+IF($A40&gt;=Premissas!$B$38+$D$9,$F$9,0))*(1-$E$9)*(1-Premissas!$B$53)</f>
        <v/>
      </c>
      <c r="Z40" s="56">
        <f>-(X40*Premissas!$B$19+MAX(0,X40-X39)*Premissas!$B$24+IF($A40-$D$9&lt;=2,Premissas!$B$41,IF($A40-$D$9&lt;=5,Premissas!$B$42,IF($A40-$D$9&lt;=8,Premissas!$B$43,$G$9)))+IF($A40=1+$D$9,Premissas!$B$47,IF($A40=3+$D$9,Premissas!$B$48,IF($A40=6+$D$9,Premissas!$B$49,0))))</f>
        <v/>
      </c>
      <c r="AA40" s="56">
        <f>Y40+Z40</f>
        <v/>
      </c>
      <c r="AB40" s="56">
        <f>AB39+AA40</f>
        <v/>
      </c>
      <c r="AC40" s="57">
        <f>IF(AA40&gt;0,$A40,9999)</f>
        <v/>
      </c>
      <c r="AD40" s="57">
        <f>IF(AB40&gt;0,$A40,9999)</f>
        <v/>
      </c>
      <c r="AE40" s="55">
        <f>IF($A40-$D$10&lt;Premissas!$B$31,0,$C$10*(Premissas!$B$28+(Premissas!$B$29-Premissas!$B$28)*$A40/36)/(1+EXP(-Premissas!$B$33*($A40-$D$10-Premissas!$B$32))))</f>
        <v/>
      </c>
      <c r="AF40" s="56">
        <f>(AE40*$B$10+IF($A40&gt;=Premissas!$B$38+$D$10,$F$10,0))*(1-$E$10)*(1-Premissas!$B$53)</f>
        <v/>
      </c>
      <c r="AG40" s="56">
        <f>-(AE40*Premissas!$B$19+MAX(0,AE40-AE39)*Premissas!$B$24+IF($A40-$D$10&lt;=2,Premissas!$B$41,IF($A40-$D$10&lt;=5,Premissas!$B$42,IF($A40-$D$10&lt;=8,Premissas!$B$43,$G$10)))+IF($A40=1+$D$10,Premissas!$B$47,IF($A40=3+$D$10,Premissas!$B$48,IF($A40=6+$D$10,Premissas!$B$49,0))))</f>
        <v/>
      </c>
      <c r="AH40" s="56">
        <f>AF40+AG40</f>
        <v/>
      </c>
      <c r="AI40" s="56">
        <f>AI39+AH40</f>
        <v/>
      </c>
      <c r="AJ40" s="57">
        <f>IF(AH40&gt;0,$A40,9999)</f>
        <v/>
      </c>
      <c r="AK40" s="57">
        <f>IF(AI40&gt;0,$A40,9999)</f>
        <v/>
      </c>
      <c r="AL40" s="55">
        <f>IF($A40-$D$11&lt;Premissas!$B$31,0,$C$11*(Premissas!$B$28+(Premissas!$B$29-Premissas!$B$28)*$A40/36)/(1+EXP(-Premissas!$B$33*($A40-$D$11-Premissas!$B$32))))</f>
        <v/>
      </c>
      <c r="AM40" s="56">
        <f>(AL40*$B$11+IF($A40&gt;=Premissas!$B$38+$D$11,$F$11,0))*(1-$E$11)*(1-Premissas!$B$53)</f>
        <v/>
      </c>
      <c r="AN40" s="56">
        <f>-(AL40*Premissas!$B$19+MAX(0,AL40-AL39)*Premissas!$B$24+IF($A40-$D$11&lt;=2,Premissas!$B$41,IF($A40-$D$11&lt;=5,Premissas!$B$42,IF($A40-$D$11&lt;=8,Premissas!$B$43,$G$11)))+IF($A40=1+$D$11,Premissas!$B$47,IF($A40=3+$D$11,Premissas!$B$48,IF($A40=6+$D$11,Premissas!$B$49,0))))</f>
        <v/>
      </c>
      <c r="AO40" s="56">
        <f>AM40+AN40</f>
        <v/>
      </c>
      <c r="AP40" s="56">
        <f>AP39+AO40</f>
        <v/>
      </c>
      <c r="AQ40" s="57">
        <f>IF(AO40&gt;0,$A40,9999)</f>
        <v/>
      </c>
      <c r="AR40" s="57">
        <f>IF(AP40&gt;0,$A40,9999)</f>
        <v/>
      </c>
      <c r="AS40" s="55">
        <f>IF($A40-$D$12&lt;Premissas!$B$31,0,$C$12*(Premissas!$B$28+(Premissas!$B$29-Premissas!$B$28)*$A40/36)/(1+EXP(-Premissas!$B$33*($A40-$D$12-Premissas!$B$32))))</f>
        <v/>
      </c>
      <c r="AT40" s="56">
        <f>(AS40*$B$12+IF($A40&gt;=Premissas!$B$38+$D$12,$F$12,0))*(1-$E$12)*(1-Premissas!$B$53)</f>
        <v/>
      </c>
      <c r="AU40" s="56">
        <f>-(AS40*Premissas!$B$19+MAX(0,AS40-AS39)*Premissas!$B$24+IF($A40-$D$12&lt;=2,Premissas!$B$41,IF($A40-$D$12&lt;=5,Premissas!$B$42,IF($A40-$D$12&lt;=8,Premissas!$B$43,$G$12)))+IF($A40=1+$D$12,Premissas!$B$47,IF($A40=3+$D$12,Premissas!$B$48,IF($A40=6+$D$12,Premissas!$B$49,0))))</f>
        <v/>
      </c>
      <c r="AV40" s="56">
        <f>AT40+AU40</f>
        <v/>
      </c>
      <c r="AW40" s="56">
        <f>AW39+AV40</f>
        <v/>
      </c>
      <c r="AX40" s="57">
        <f>IF(AV40&gt;0,$A40,9999)</f>
        <v/>
      </c>
      <c r="AY40" s="57">
        <f>IF(AW40&gt;0,$A40,9999)</f>
        <v/>
      </c>
      <c r="AZ40" s="55">
        <f>IF($A40-$D$13&lt;Premissas!$B$31,0,$C$13*(Premissas!$B$28+(Premissas!$B$29-Premissas!$B$28)*$A40/36)/(1+EXP(-Premissas!$B$33*($A40-$D$13-Premissas!$B$32))))</f>
        <v/>
      </c>
      <c r="BA40" s="56">
        <f>(AZ40*$B$13+IF($A40&gt;=Premissas!$B$38+$D$13,$F$13,0))*(1-$E$13)*(1-Premissas!$B$53)</f>
        <v/>
      </c>
      <c r="BB40" s="56">
        <f>-(AZ40*Premissas!$B$19+MAX(0,AZ40-AZ39)*Premissas!$B$24+IF($A40-$D$13&lt;=2,Premissas!$B$41,IF($A40-$D$13&lt;=5,Premissas!$B$42,IF($A40-$D$13&lt;=8,Premissas!$B$43,$G$13)))+IF($A40=1+$D$13,Premissas!$B$47,IF($A40=3+$D$13,Premissas!$B$48,IF($A40=6+$D$13,Premissas!$B$49,0))))</f>
        <v/>
      </c>
      <c r="BC40" s="56">
        <f>BA40+BB40</f>
        <v/>
      </c>
      <c r="BD40" s="56">
        <f>BD39+BC40</f>
        <v/>
      </c>
      <c r="BE40" s="57">
        <f>IF(BC40&gt;0,$A40,9999)</f>
        <v/>
      </c>
      <c r="BF40" s="57">
        <f>IF(BD40&gt;0,$A40,9999)</f>
        <v/>
      </c>
      <c r="BG40" s="55">
        <f>IF($A40-$D$14&lt;Premissas!$B$31,0,$C$14*(Premissas!$B$28+(Premissas!$B$29-Premissas!$B$28)*$A40/36)/(1+EXP(-Premissas!$B$33*($A40-$D$14-Premissas!$B$32))))</f>
        <v/>
      </c>
      <c r="BH40" s="56">
        <f>(BG40*$B$14+IF($A40&gt;=Premissas!$B$38+$D$14,$F$14,0))*(1-$E$14)*(1-Premissas!$B$53)</f>
        <v/>
      </c>
      <c r="BI40" s="56">
        <f>-(BG40*Premissas!$B$19+MAX(0,BG40-BG39)*Premissas!$B$24+IF($A40-$D$14&lt;=2,Premissas!$B$41,IF($A40-$D$14&lt;=5,Premissas!$B$42,IF($A40-$D$14&lt;=8,Premissas!$B$43,$G$14)))+IF($A40=1+$D$14,Premissas!$B$47,IF($A40=3+$D$14,Premissas!$B$48,IF($A40=6+$D$14,Premissas!$B$49,0))))</f>
        <v/>
      </c>
      <c r="BJ40" s="56">
        <f>BH40+BI40</f>
        <v/>
      </c>
      <c r="BK40" s="56">
        <f>BK39+BJ40</f>
        <v/>
      </c>
      <c r="BL40" s="57">
        <f>IF(BJ40&gt;0,$A40,9999)</f>
        <v/>
      </c>
      <c r="BM40" s="57">
        <f>IF(BK40&gt;0,$A40,9999)</f>
        <v/>
      </c>
      <c r="BN40" s="55">
        <f>IF($A40-$D$15&lt;Premissas!$B$31,0,$C$15*(Premissas!$B$28+(Premissas!$B$29-Premissas!$B$28)*$A40/36)/(1+EXP(-Premissas!$B$33*($A40-$D$15-Premissas!$B$32))))</f>
        <v/>
      </c>
      <c r="BO40" s="56">
        <f>(BN40*$B$15+IF($A40&gt;=Premissas!$B$38+$D$15,$F$15,0))*(1-$E$15)*(1-Premissas!$B$53)</f>
        <v/>
      </c>
      <c r="BP40" s="56">
        <f>-(BN40*Premissas!$B$19+MAX(0,BN40-BN39)*Premissas!$B$24+IF($A40-$D$15&lt;=2,Premissas!$B$41,IF($A40-$D$15&lt;=5,Premissas!$B$42,IF($A40-$D$15&lt;=8,Premissas!$B$43,$G$15)))+IF($A40=1+$D$15,Premissas!$B$47,IF($A40=3+$D$15,Premissas!$B$48,IF($A40=6+$D$15,Premissas!$B$49,0))))</f>
        <v/>
      </c>
      <c r="BQ40" s="56">
        <f>BO40+BP40</f>
        <v/>
      </c>
      <c r="BR40" s="56">
        <f>BR39+BQ40</f>
        <v/>
      </c>
      <c r="BS40" s="57">
        <f>IF(BQ40&gt;0,$A40,9999)</f>
        <v/>
      </c>
      <c r="BT40" s="57">
        <f>IF(BR40&gt;0,$A40,9999)</f>
        <v/>
      </c>
    </row>
    <row r="41">
      <c r="A41" s="12" t="n">
        <v>6</v>
      </c>
      <c r="C41" s="55">
        <f>IF($A41-$D$6&lt;Premissas!$B$31,0,$C$6*(Premissas!$B$28+(Premissas!$B$29-Premissas!$B$28)*$A41/36)/(1+EXP(-Premissas!$B$33*($A41-$D$6-Premissas!$B$32))))</f>
        <v/>
      </c>
      <c r="D41" s="56">
        <f>(C41*$B$6+IF($A41&gt;=Premissas!$B$38+$D$6,$F$6,0))*(1-$E$6)*(1-Premissas!$B$53)</f>
        <v/>
      </c>
      <c r="E41" s="56">
        <f>-(C41*Premissas!$B$19+MAX(0,C41-C40)*Premissas!$B$24+IF($A41-$D$6&lt;=2,Premissas!$B$41,IF($A41-$D$6&lt;=5,Premissas!$B$42,IF($A41-$D$6&lt;=8,Premissas!$B$43,$G$6)))+IF($A41=1+$D$6,Premissas!$B$47,IF($A41=3+$D$6,Premissas!$B$48,IF($A41=6+$D$6,Premissas!$B$49,0))))</f>
        <v/>
      </c>
      <c r="F41" s="56">
        <f>D41+E41</f>
        <v/>
      </c>
      <c r="G41" s="56">
        <f>G40+F41</f>
        <v/>
      </c>
      <c r="H41" s="57">
        <f>IF(F41&gt;0,$A41,9999)</f>
        <v/>
      </c>
      <c r="I41" s="57">
        <f>IF(G41&gt;0,$A41,9999)</f>
        <v/>
      </c>
      <c r="J41" s="55">
        <f>IF($A41-$D$7&lt;Premissas!$B$31,0,$C$7*(Premissas!$B$28+(Premissas!$B$29-Premissas!$B$28)*$A41/36)/(1+EXP(-Premissas!$B$33*($A41-$D$7-Premissas!$B$32))))</f>
        <v/>
      </c>
      <c r="K41" s="56">
        <f>(J41*$B$7+IF($A41&gt;=Premissas!$B$38+$D$7,$F$7,0))*(1-$E$7)*(1-Premissas!$B$53)</f>
        <v/>
      </c>
      <c r="L41" s="56">
        <f>-(J41*Premissas!$B$19+MAX(0,J41-J40)*Premissas!$B$24+IF($A41-$D$7&lt;=2,Premissas!$B$41,IF($A41-$D$7&lt;=5,Premissas!$B$42,IF($A41-$D$7&lt;=8,Premissas!$B$43,$G$7)))+IF($A41=1+$D$7,Premissas!$B$47,IF($A41=3+$D$7,Premissas!$B$48,IF($A41=6+$D$7,Premissas!$B$49,0))))</f>
        <v/>
      </c>
      <c r="M41" s="56">
        <f>K41+L41</f>
        <v/>
      </c>
      <c r="N41" s="56">
        <f>N40+M41</f>
        <v/>
      </c>
      <c r="O41" s="57">
        <f>IF(M41&gt;0,$A41,9999)</f>
        <v/>
      </c>
      <c r="P41" s="57">
        <f>IF(N41&gt;0,$A41,9999)</f>
        <v/>
      </c>
      <c r="Q41" s="55">
        <f>IF($A41-$D$8&lt;Premissas!$B$31,0,$C$8*(Premissas!$B$28+(Premissas!$B$29-Premissas!$B$28)*$A41/36)/(1+EXP(-Premissas!$B$33*($A41-$D$8-Premissas!$B$32))))</f>
        <v/>
      </c>
      <c r="R41" s="56">
        <f>(Q41*$B$8+IF($A41&gt;=Premissas!$B$38+$D$8,$F$8,0))*(1-$E$8)*(1-Premissas!$B$53)</f>
        <v/>
      </c>
      <c r="S41" s="56">
        <f>-(Q41*Premissas!$B$19+MAX(0,Q41-Q40)*Premissas!$B$24+IF($A41-$D$8&lt;=2,Premissas!$B$41,IF($A41-$D$8&lt;=5,Premissas!$B$42,IF($A41-$D$8&lt;=8,Premissas!$B$43,$G$8)))+IF($A41=1+$D$8,Premissas!$B$47,IF($A41=3+$D$8,Premissas!$B$48,IF($A41=6+$D$8,Premissas!$B$49,0))))</f>
        <v/>
      </c>
      <c r="T41" s="56">
        <f>R41+S41</f>
        <v/>
      </c>
      <c r="U41" s="56">
        <f>U40+T41</f>
        <v/>
      </c>
      <c r="V41" s="57">
        <f>IF(T41&gt;0,$A41,9999)</f>
        <v/>
      </c>
      <c r="W41" s="57">
        <f>IF(U41&gt;0,$A41,9999)</f>
        <v/>
      </c>
      <c r="X41" s="55">
        <f>IF($A41-$D$9&lt;Premissas!$B$31,0,$C$9*(Premissas!$B$28+(Premissas!$B$29-Premissas!$B$28)*$A41/36)/(1+EXP(-Premissas!$B$33*($A41-$D$9-Premissas!$B$32))))</f>
        <v/>
      </c>
      <c r="Y41" s="56">
        <f>(X41*$B$9+IF($A41&gt;=Premissas!$B$38+$D$9,$F$9,0))*(1-$E$9)*(1-Premissas!$B$53)</f>
        <v/>
      </c>
      <c r="Z41" s="56">
        <f>-(X41*Premissas!$B$19+MAX(0,X41-X40)*Premissas!$B$24+IF($A41-$D$9&lt;=2,Premissas!$B$41,IF($A41-$D$9&lt;=5,Premissas!$B$42,IF($A41-$D$9&lt;=8,Premissas!$B$43,$G$9)))+IF($A41=1+$D$9,Premissas!$B$47,IF($A41=3+$D$9,Premissas!$B$48,IF($A41=6+$D$9,Premissas!$B$49,0))))</f>
        <v/>
      </c>
      <c r="AA41" s="56">
        <f>Y41+Z41</f>
        <v/>
      </c>
      <c r="AB41" s="56">
        <f>AB40+AA41</f>
        <v/>
      </c>
      <c r="AC41" s="57">
        <f>IF(AA41&gt;0,$A41,9999)</f>
        <v/>
      </c>
      <c r="AD41" s="57">
        <f>IF(AB41&gt;0,$A41,9999)</f>
        <v/>
      </c>
      <c r="AE41" s="55">
        <f>IF($A41-$D$10&lt;Premissas!$B$31,0,$C$10*(Premissas!$B$28+(Premissas!$B$29-Premissas!$B$28)*$A41/36)/(1+EXP(-Premissas!$B$33*($A41-$D$10-Premissas!$B$32))))</f>
        <v/>
      </c>
      <c r="AF41" s="56">
        <f>(AE41*$B$10+IF($A41&gt;=Premissas!$B$38+$D$10,$F$10,0))*(1-$E$10)*(1-Premissas!$B$53)</f>
        <v/>
      </c>
      <c r="AG41" s="56">
        <f>-(AE41*Premissas!$B$19+MAX(0,AE41-AE40)*Premissas!$B$24+IF($A41-$D$10&lt;=2,Premissas!$B$41,IF($A41-$D$10&lt;=5,Premissas!$B$42,IF($A41-$D$10&lt;=8,Premissas!$B$43,$G$10)))+IF($A41=1+$D$10,Premissas!$B$47,IF($A41=3+$D$10,Premissas!$B$48,IF($A41=6+$D$10,Premissas!$B$49,0))))</f>
        <v/>
      </c>
      <c r="AH41" s="56">
        <f>AF41+AG41</f>
        <v/>
      </c>
      <c r="AI41" s="56">
        <f>AI40+AH41</f>
        <v/>
      </c>
      <c r="AJ41" s="57">
        <f>IF(AH41&gt;0,$A41,9999)</f>
        <v/>
      </c>
      <c r="AK41" s="57">
        <f>IF(AI41&gt;0,$A41,9999)</f>
        <v/>
      </c>
      <c r="AL41" s="55">
        <f>IF($A41-$D$11&lt;Premissas!$B$31,0,$C$11*(Premissas!$B$28+(Premissas!$B$29-Premissas!$B$28)*$A41/36)/(1+EXP(-Premissas!$B$33*($A41-$D$11-Premissas!$B$32))))</f>
        <v/>
      </c>
      <c r="AM41" s="56">
        <f>(AL41*$B$11+IF($A41&gt;=Premissas!$B$38+$D$11,$F$11,0))*(1-$E$11)*(1-Premissas!$B$53)</f>
        <v/>
      </c>
      <c r="AN41" s="56">
        <f>-(AL41*Premissas!$B$19+MAX(0,AL41-AL40)*Premissas!$B$24+IF($A41-$D$11&lt;=2,Premissas!$B$41,IF($A41-$D$11&lt;=5,Premissas!$B$42,IF($A41-$D$11&lt;=8,Premissas!$B$43,$G$11)))+IF($A41=1+$D$11,Premissas!$B$47,IF($A41=3+$D$11,Premissas!$B$48,IF($A41=6+$D$11,Premissas!$B$49,0))))</f>
        <v/>
      </c>
      <c r="AO41" s="56">
        <f>AM41+AN41</f>
        <v/>
      </c>
      <c r="AP41" s="56">
        <f>AP40+AO41</f>
        <v/>
      </c>
      <c r="AQ41" s="57">
        <f>IF(AO41&gt;0,$A41,9999)</f>
        <v/>
      </c>
      <c r="AR41" s="57">
        <f>IF(AP41&gt;0,$A41,9999)</f>
        <v/>
      </c>
      <c r="AS41" s="55">
        <f>IF($A41-$D$12&lt;Premissas!$B$31,0,$C$12*(Premissas!$B$28+(Premissas!$B$29-Premissas!$B$28)*$A41/36)/(1+EXP(-Premissas!$B$33*($A41-$D$12-Premissas!$B$32))))</f>
        <v/>
      </c>
      <c r="AT41" s="56">
        <f>(AS41*$B$12+IF($A41&gt;=Premissas!$B$38+$D$12,$F$12,0))*(1-$E$12)*(1-Premissas!$B$53)</f>
        <v/>
      </c>
      <c r="AU41" s="56">
        <f>-(AS41*Premissas!$B$19+MAX(0,AS41-AS40)*Premissas!$B$24+IF($A41-$D$12&lt;=2,Premissas!$B$41,IF($A41-$D$12&lt;=5,Premissas!$B$42,IF($A41-$D$12&lt;=8,Premissas!$B$43,$G$12)))+IF($A41=1+$D$12,Premissas!$B$47,IF($A41=3+$D$12,Premissas!$B$48,IF($A41=6+$D$12,Premissas!$B$49,0))))</f>
        <v/>
      </c>
      <c r="AV41" s="56">
        <f>AT41+AU41</f>
        <v/>
      </c>
      <c r="AW41" s="56">
        <f>AW40+AV41</f>
        <v/>
      </c>
      <c r="AX41" s="57">
        <f>IF(AV41&gt;0,$A41,9999)</f>
        <v/>
      </c>
      <c r="AY41" s="57">
        <f>IF(AW41&gt;0,$A41,9999)</f>
        <v/>
      </c>
      <c r="AZ41" s="55">
        <f>IF($A41-$D$13&lt;Premissas!$B$31,0,$C$13*(Premissas!$B$28+(Premissas!$B$29-Premissas!$B$28)*$A41/36)/(1+EXP(-Premissas!$B$33*($A41-$D$13-Premissas!$B$32))))</f>
        <v/>
      </c>
      <c r="BA41" s="56">
        <f>(AZ41*$B$13+IF($A41&gt;=Premissas!$B$38+$D$13,$F$13,0))*(1-$E$13)*(1-Premissas!$B$53)</f>
        <v/>
      </c>
      <c r="BB41" s="56">
        <f>-(AZ41*Premissas!$B$19+MAX(0,AZ41-AZ40)*Premissas!$B$24+IF($A41-$D$13&lt;=2,Premissas!$B$41,IF($A41-$D$13&lt;=5,Premissas!$B$42,IF($A41-$D$13&lt;=8,Premissas!$B$43,$G$13)))+IF($A41=1+$D$13,Premissas!$B$47,IF($A41=3+$D$13,Premissas!$B$48,IF($A41=6+$D$13,Premissas!$B$49,0))))</f>
        <v/>
      </c>
      <c r="BC41" s="56">
        <f>BA41+BB41</f>
        <v/>
      </c>
      <c r="BD41" s="56">
        <f>BD40+BC41</f>
        <v/>
      </c>
      <c r="BE41" s="57">
        <f>IF(BC41&gt;0,$A41,9999)</f>
        <v/>
      </c>
      <c r="BF41" s="57">
        <f>IF(BD41&gt;0,$A41,9999)</f>
        <v/>
      </c>
      <c r="BG41" s="55">
        <f>IF($A41-$D$14&lt;Premissas!$B$31,0,$C$14*(Premissas!$B$28+(Premissas!$B$29-Premissas!$B$28)*$A41/36)/(1+EXP(-Premissas!$B$33*($A41-$D$14-Premissas!$B$32))))</f>
        <v/>
      </c>
      <c r="BH41" s="56">
        <f>(BG41*$B$14+IF($A41&gt;=Premissas!$B$38+$D$14,$F$14,0))*(1-$E$14)*(1-Premissas!$B$53)</f>
        <v/>
      </c>
      <c r="BI41" s="56">
        <f>-(BG41*Premissas!$B$19+MAX(0,BG41-BG40)*Premissas!$B$24+IF($A41-$D$14&lt;=2,Premissas!$B$41,IF($A41-$D$14&lt;=5,Premissas!$B$42,IF($A41-$D$14&lt;=8,Premissas!$B$43,$G$14)))+IF($A41=1+$D$14,Premissas!$B$47,IF($A41=3+$D$14,Premissas!$B$48,IF($A41=6+$D$14,Premissas!$B$49,0))))</f>
        <v/>
      </c>
      <c r="BJ41" s="56">
        <f>BH41+BI41</f>
        <v/>
      </c>
      <c r="BK41" s="56">
        <f>BK40+BJ41</f>
        <v/>
      </c>
      <c r="BL41" s="57">
        <f>IF(BJ41&gt;0,$A41,9999)</f>
        <v/>
      </c>
      <c r="BM41" s="57">
        <f>IF(BK41&gt;0,$A41,9999)</f>
        <v/>
      </c>
      <c r="BN41" s="55">
        <f>IF($A41-$D$15&lt;Premissas!$B$31,0,$C$15*(Premissas!$B$28+(Premissas!$B$29-Premissas!$B$28)*$A41/36)/(1+EXP(-Premissas!$B$33*($A41-$D$15-Premissas!$B$32))))</f>
        <v/>
      </c>
      <c r="BO41" s="56">
        <f>(BN41*$B$15+IF($A41&gt;=Premissas!$B$38+$D$15,$F$15,0))*(1-$E$15)*(1-Premissas!$B$53)</f>
        <v/>
      </c>
      <c r="BP41" s="56">
        <f>-(BN41*Premissas!$B$19+MAX(0,BN41-BN40)*Premissas!$B$24+IF($A41-$D$15&lt;=2,Premissas!$B$41,IF($A41-$D$15&lt;=5,Premissas!$B$42,IF($A41-$D$15&lt;=8,Premissas!$B$43,$G$15)))+IF($A41=1+$D$15,Premissas!$B$47,IF($A41=3+$D$15,Premissas!$B$48,IF($A41=6+$D$15,Premissas!$B$49,0))))</f>
        <v/>
      </c>
      <c r="BQ41" s="56">
        <f>BO41+BP41</f>
        <v/>
      </c>
      <c r="BR41" s="56">
        <f>BR40+BQ41</f>
        <v/>
      </c>
      <c r="BS41" s="57">
        <f>IF(BQ41&gt;0,$A41,9999)</f>
        <v/>
      </c>
      <c r="BT41" s="57">
        <f>IF(BR41&gt;0,$A41,9999)</f>
        <v/>
      </c>
    </row>
    <row r="42">
      <c r="A42" s="12" t="n">
        <v>7</v>
      </c>
      <c r="C42" s="55">
        <f>IF($A42-$D$6&lt;Premissas!$B$31,0,$C$6*(Premissas!$B$28+(Premissas!$B$29-Premissas!$B$28)*$A42/36)/(1+EXP(-Premissas!$B$33*($A42-$D$6-Premissas!$B$32))))</f>
        <v/>
      </c>
      <c r="D42" s="56">
        <f>(C42*$B$6+IF($A42&gt;=Premissas!$B$38+$D$6,$F$6,0))*(1-$E$6)*(1-Premissas!$B$53)</f>
        <v/>
      </c>
      <c r="E42" s="56">
        <f>-(C42*Premissas!$B$19+MAX(0,C42-C41)*Premissas!$B$24+IF($A42-$D$6&lt;=2,Premissas!$B$41,IF($A42-$D$6&lt;=5,Premissas!$B$42,IF($A42-$D$6&lt;=8,Premissas!$B$43,$G$6)))+IF($A42=1+$D$6,Premissas!$B$47,IF($A42=3+$D$6,Premissas!$B$48,IF($A42=6+$D$6,Premissas!$B$49,0))))</f>
        <v/>
      </c>
      <c r="F42" s="56">
        <f>D42+E42</f>
        <v/>
      </c>
      <c r="G42" s="56">
        <f>G41+F42</f>
        <v/>
      </c>
      <c r="H42" s="57">
        <f>IF(F42&gt;0,$A42,9999)</f>
        <v/>
      </c>
      <c r="I42" s="57">
        <f>IF(G42&gt;0,$A42,9999)</f>
        <v/>
      </c>
      <c r="J42" s="55">
        <f>IF($A42-$D$7&lt;Premissas!$B$31,0,$C$7*(Premissas!$B$28+(Premissas!$B$29-Premissas!$B$28)*$A42/36)/(1+EXP(-Premissas!$B$33*($A42-$D$7-Premissas!$B$32))))</f>
        <v/>
      </c>
      <c r="K42" s="56">
        <f>(J42*$B$7+IF($A42&gt;=Premissas!$B$38+$D$7,$F$7,0))*(1-$E$7)*(1-Premissas!$B$53)</f>
        <v/>
      </c>
      <c r="L42" s="56">
        <f>-(J42*Premissas!$B$19+MAX(0,J42-J41)*Premissas!$B$24+IF($A42-$D$7&lt;=2,Premissas!$B$41,IF($A42-$D$7&lt;=5,Premissas!$B$42,IF($A42-$D$7&lt;=8,Premissas!$B$43,$G$7)))+IF($A42=1+$D$7,Premissas!$B$47,IF($A42=3+$D$7,Premissas!$B$48,IF($A42=6+$D$7,Premissas!$B$49,0))))</f>
        <v/>
      </c>
      <c r="M42" s="56">
        <f>K42+L42</f>
        <v/>
      </c>
      <c r="N42" s="56">
        <f>N41+M42</f>
        <v/>
      </c>
      <c r="O42" s="57">
        <f>IF(M42&gt;0,$A42,9999)</f>
        <v/>
      </c>
      <c r="P42" s="57">
        <f>IF(N42&gt;0,$A42,9999)</f>
        <v/>
      </c>
      <c r="Q42" s="55">
        <f>IF($A42-$D$8&lt;Premissas!$B$31,0,$C$8*(Premissas!$B$28+(Premissas!$B$29-Premissas!$B$28)*$A42/36)/(1+EXP(-Premissas!$B$33*($A42-$D$8-Premissas!$B$32))))</f>
        <v/>
      </c>
      <c r="R42" s="56">
        <f>(Q42*$B$8+IF($A42&gt;=Premissas!$B$38+$D$8,$F$8,0))*(1-$E$8)*(1-Premissas!$B$53)</f>
        <v/>
      </c>
      <c r="S42" s="56">
        <f>-(Q42*Premissas!$B$19+MAX(0,Q42-Q41)*Premissas!$B$24+IF($A42-$D$8&lt;=2,Premissas!$B$41,IF($A42-$D$8&lt;=5,Premissas!$B$42,IF($A42-$D$8&lt;=8,Premissas!$B$43,$G$8)))+IF($A42=1+$D$8,Premissas!$B$47,IF($A42=3+$D$8,Premissas!$B$48,IF($A42=6+$D$8,Premissas!$B$49,0))))</f>
        <v/>
      </c>
      <c r="T42" s="56">
        <f>R42+S42</f>
        <v/>
      </c>
      <c r="U42" s="56">
        <f>U41+T42</f>
        <v/>
      </c>
      <c r="V42" s="57">
        <f>IF(T42&gt;0,$A42,9999)</f>
        <v/>
      </c>
      <c r="W42" s="57">
        <f>IF(U42&gt;0,$A42,9999)</f>
        <v/>
      </c>
      <c r="X42" s="55">
        <f>IF($A42-$D$9&lt;Premissas!$B$31,0,$C$9*(Premissas!$B$28+(Premissas!$B$29-Premissas!$B$28)*$A42/36)/(1+EXP(-Premissas!$B$33*($A42-$D$9-Premissas!$B$32))))</f>
        <v/>
      </c>
      <c r="Y42" s="56">
        <f>(X42*$B$9+IF($A42&gt;=Premissas!$B$38+$D$9,$F$9,0))*(1-$E$9)*(1-Premissas!$B$53)</f>
        <v/>
      </c>
      <c r="Z42" s="56">
        <f>-(X42*Premissas!$B$19+MAX(0,X42-X41)*Premissas!$B$24+IF($A42-$D$9&lt;=2,Premissas!$B$41,IF($A42-$D$9&lt;=5,Premissas!$B$42,IF($A42-$D$9&lt;=8,Premissas!$B$43,$G$9)))+IF($A42=1+$D$9,Premissas!$B$47,IF($A42=3+$D$9,Premissas!$B$48,IF($A42=6+$D$9,Premissas!$B$49,0))))</f>
        <v/>
      </c>
      <c r="AA42" s="56">
        <f>Y42+Z42</f>
        <v/>
      </c>
      <c r="AB42" s="56">
        <f>AB41+AA42</f>
        <v/>
      </c>
      <c r="AC42" s="57">
        <f>IF(AA42&gt;0,$A42,9999)</f>
        <v/>
      </c>
      <c r="AD42" s="57">
        <f>IF(AB42&gt;0,$A42,9999)</f>
        <v/>
      </c>
      <c r="AE42" s="55">
        <f>IF($A42-$D$10&lt;Premissas!$B$31,0,$C$10*(Premissas!$B$28+(Premissas!$B$29-Premissas!$B$28)*$A42/36)/(1+EXP(-Premissas!$B$33*($A42-$D$10-Premissas!$B$32))))</f>
        <v/>
      </c>
      <c r="AF42" s="56">
        <f>(AE42*$B$10+IF($A42&gt;=Premissas!$B$38+$D$10,$F$10,0))*(1-$E$10)*(1-Premissas!$B$53)</f>
        <v/>
      </c>
      <c r="AG42" s="56">
        <f>-(AE42*Premissas!$B$19+MAX(0,AE42-AE41)*Premissas!$B$24+IF($A42-$D$10&lt;=2,Premissas!$B$41,IF($A42-$D$10&lt;=5,Premissas!$B$42,IF($A42-$D$10&lt;=8,Premissas!$B$43,$G$10)))+IF($A42=1+$D$10,Premissas!$B$47,IF($A42=3+$D$10,Premissas!$B$48,IF($A42=6+$D$10,Premissas!$B$49,0))))</f>
        <v/>
      </c>
      <c r="AH42" s="56">
        <f>AF42+AG42</f>
        <v/>
      </c>
      <c r="AI42" s="56">
        <f>AI41+AH42</f>
        <v/>
      </c>
      <c r="AJ42" s="57">
        <f>IF(AH42&gt;0,$A42,9999)</f>
        <v/>
      </c>
      <c r="AK42" s="57">
        <f>IF(AI42&gt;0,$A42,9999)</f>
        <v/>
      </c>
      <c r="AL42" s="55">
        <f>IF($A42-$D$11&lt;Premissas!$B$31,0,$C$11*(Premissas!$B$28+(Premissas!$B$29-Premissas!$B$28)*$A42/36)/(1+EXP(-Premissas!$B$33*($A42-$D$11-Premissas!$B$32))))</f>
        <v/>
      </c>
      <c r="AM42" s="56">
        <f>(AL42*$B$11+IF($A42&gt;=Premissas!$B$38+$D$11,$F$11,0))*(1-$E$11)*(1-Premissas!$B$53)</f>
        <v/>
      </c>
      <c r="AN42" s="56">
        <f>-(AL42*Premissas!$B$19+MAX(0,AL42-AL41)*Premissas!$B$24+IF($A42-$D$11&lt;=2,Premissas!$B$41,IF($A42-$D$11&lt;=5,Premissas!$B$42,IF($A42-$D$11&lt;=8,Premissas!$B$43,$G$11)))+IF($A42=1+$D$11,Premissas!$B$47,IF($A42=3+$D$11,Premissas!$B$48,IF($A42=6+$D$11,Premissas!$B$49,0))))</f>
        <v/>
      </c>
      <c r="AO42" s="56">
        <f>AM42+AN42</f>
        <v/>
      </c>
      <c r="AP42" s="56">
        <f>AP41+AO42</f>
        <v/>
      </c>
      <c r="AQ42" s="57">
        <f>IF(AO42&gt;0,$A42,9999)</f>
        <v/>
      </c>
      <c r="AR42" s="57">
        <f>IF(AP42&gt;0,$A42,9999)</f>
        <v/>
      </c>
      <c r="AS42" s="55">
        <f>IF($A42-$D$12&lt;Premissas!$B$31,0,$C$12*(Premissas!$B$28+(Premissas!$B$29-Premissas!$B$28)*$A42/36)/(1+EXP(-Premissas!$B$33*($A42-$D$12-Premissas!$B$32))))</f>
        <v/>
      </c>
      <c r="AT42" s="56">
        <f>(AS42*$B$12+IF($A42&gt;=Premissas!$B$38+$D$12,$F$12,0))*(1-$E$12)*(1-Premissas!$B$53)</f>
        <v/>
      </c>
      <c r="AU42" s="56">
        <f>-(AS42*Premissas!$B$19+MAX(0,AS42-AS41)*Premissas!$B$24+IF($A42-$D$12&lt;=2,Premissas!$B$41,IF($A42-$D$12&lt;=5,Premissas!$B$42,IF($A42-$D$12&lt;=8,Premissas!$B$43,$G$12)))+IF($A42=1+$D$12,Premissas!$B$47,IF($A42=3+$D$12,Premissas!$B$48,IF($A42=6+$D$12,Premissas!$B$49,0))))</f>
        <v/>
      </c>
      <c r="AV42" s="56">
        <f>AT42+AU42</f>
        <v/>
      </c>
      <c r="AW42" s="56">
        <f>AW41+AV42</f>
        <v/>
      </c>
      <c r="AX42" s="57">
        <f>IF(AV42&gt;0,$A42,9999)</f>
        <v/>
      </c>
      <c r="AY42" s="57">
        <f>IF(AW42&gt;0,$A42,9999)</f>
        <v/>
      </c>
      <c r="AZ42" s="55">
        <f>IF($A42-$D$13&lt;Premissas!$B$31,0,$C$13*(Premissas!$B$28+(Premissas!$B$29-Premissas!$B$28)*$A42/36)/(1+EXP(-Premissas!$B$33*($A42-$D$13-Premissas!$B$32))))</f>
        <v/>
      </c>
      <c r="BA42" s="56">
        <f>(AZ42*$B$13+IF($A42&gt;=Premissas!$B$38+$D$13,$F$13,0))*(1-$E$13)*(1-Premissas!$B$53)</f>
        <v/>
      </c>
      <c r="BB42" s="56">
        <f>-(AZ42*Premissas!$B$19+MAX(0,AZ42-AZ41)*Premissas!$B$24+IF($A42-$D$13&lt;=2,Premissas!$B$41,IF($A42-$D$13&lt;=5,Premissas!$B$42,IF($A42-$D$13&lt;=8,Premissas!$B$43,$G$13)))+IF($A42=1+$D$13,Premissas!$B$47,IF($A42=3+$D$13,Premissas!$B$48,IF($A42=6+$D$13,Premissas!$B$49,0))))</f>
        <v/>
      </c>
      <c r="BC42" s="56">
        <f>BA42+BB42</f>
        <v/>
      </c>
      <c r="BD42" s="56">
        <f>BD41+BC42</f>
        <v/>
      </c>
      <c r="BE42" s="57">
        <f>IF(BC42&gt;0,$A42,9999)</f>
        <v/>
      </c>
      <c r="BF42" s="57">
        <f>IF(BD42&gt;0,$A42,9999)</f>
        <v/>
      </c>
      <c r="BG42" s="55">
        <f>IF($A42-$D$14&lt;Premissas!$B$31,0,$C$14*(Premissas!$B$28+(Premissas!$B$29-Premissas!$B$28)*$A42/36)/(1+EXP(-Premissas!$B$33*($A42-$D$14-Premissas!$B$32))))</f>
        <v/>
      </c>
      <c r="BH42" s="56">
        <f>(BG42*$B$14+IF($A42&gt;=Premissas!$B$38+$D$14,$F$14,0))*(1-$E$14)*(1-Premissas!$B$53)</f>
        <v/>
      </c>
      <c r="BI42" s="56">
        <f>-(BG42*Premissas!$B$19+MAX(0,BG42-BG41)*Premissas!$B$24+IF($A42-$D$14&lt;=2,Premissas!$B$41,IF($A42-$D$14&lt;=5,Premissas!$B$42,IF($A42-$D$14&lt;=8,Premissas!$B$43,$G$14)))+IF($A42=1+$D$14,Premissas!$B$47,IF($A42=3+$D$14,Premissas!$B$48,IF($A42=6+$D$14,Premissas!$B$49,0))))</f>
        <v/>
      </c>
      <c r="BJ42" s="56">
        <f>BH42+BI42</f>
        <v/>
      </c>
      <c r="BK42" s="56">
        <f>BK41+BJ42</f>
        <v/>
      </c>
      <c r="BL42" s="57">
        <f>IF(BJ42&gt;0,$A42,9999)</f>
        <v/>
      </c>
      <c r="BM42" s="57">
        <f>IF(BK42&gt;0,$A42,9999)</f>
        <v/>
      </c>
      <c r="BN42" s="55">
        <f>IF($A42-$D$15&lt;Premissas!$B$31,0,$C$15*(Premissas!$B$28+(Premissas!$B$29-Premissas!$B$28)*$A42/36)/(1+EXP(-Premissas!$B$33*($A42-$D$15-Premissas!$B$32))))</f>
        <v/>
      </c>
      <c r="BO42" s="56">
        <f>(BN42*$B$15+IF($A42&gt;=Premissas!$B$38+$D$15,$F$15,0))*(1-$E$15)*(1-Premissas!$B$53)</f>
        <v/>
      </c>
      <c r="BP42" s="56">
        <f>-(BN42*Premissas!$B$19+MAX(0,BN42-BN41)*Premissas!$B$24+IF($A42-$D$15&lt;=2,Premissas!$B$41,IF($A42-$D$15&lt;=5,Premissas!$B$42,IF($A42-$D$15&lt;=8,Premissas!$B$43,$G$15)))+IF($A42=1+$D$15,Premissas!$B$47,IF($A42=3+$D$15,Premissas!$B$48,IF($A42=6+$D$15,Premissas!$B$49,0))))</f>
        <v/>
      </c>
      <c r="BQ42" s="56">
        <f>BO42+BP42</f>
        <v/>
      </c>
      <c r="BR42" s="56">
        <f>BR41+BQ42</f>
        <v/>
      </c>
      <c r="BS42" s="57">
        <f>IF(BQ42&gt;0,$A42,9999)</f>
        <v/>
      </c>
      <c r="BT42" s="57">
        <f>IF(BR42&gt;0,$A42,9999)</f>
        <v/>
      </c>
    </row>
    <row r="43">
      <c r="A43" s="12" t="n">
        <v>8</v>
      </c>
      <c r="C43" s="55">
        <f>IF($A43-$D$6&lt;Premissas!$B$31,0,$C$6*(Premissas!$B$28+(Premissas!$B$29-Premissas!$B$28)*$A43/36)/(1+EXP(-Premissas!$B$33*($A43-$D$6-Premissas!$B$32))))</f>
        <v/>
      </c>
      <c r="D43" s="56">
        <f>(C43*$B$6+IF($A43&gt;=Premissas!$B$38+$D$6,$F$6,0))*(1-$E$6)*(1-Premissas!$B$53)</f>
        <v/>
      </c>
      <c r="E43" s="56">
        <f>-(C43*Premissas!$B$19+MAX(0,C43-C42)*Premissas!$B$24+IF($A43-$D$6&lt;=2,Premissas!$B$41,IF($A43-$D$6&lt;=5,Premissas!$B$42,IF($A43-$D$6&lt;=8,Premissas!$B$43,$G$6)))+IF($A43=1+$D$6,Premissas!$B$47,IF($A43=3+$D$6,Premissas!$B$48,IF($A43=6+$D$6,Premissas!$B$49,0))))</f>
        <v/>
      </c>
      <c r="F43" s="56">
        <f>D43+E43</f>
        <v/>
      </c>
      <c r="G43" s="56">
        <f>G42+F43</f>
        <v/>
      </c>
      <c r="H43" s="57">
        <f>IF(F43&gt;0,$A43,9999)</f>
        <v/>
      </c>
      <c r="I43" s="57">
        <f>IF(G43&gt;0,$A43,9999)</f>
        <v/>
      </c>
      <c r="J43" s="55">
        <f>IF($A43-$D$7&lt;Premissas!$B$31,0,$C$7*(Premissas!$B$28+(Premissas!$B$29-Premissas!$B$28)*$A43/36)/(1+EXP(-Premissas!$B$33*($A43-$D$7-Premissas!$B$32))))</f>
        <v/>
      </c>
      <c r="K43" s="56">
        <f>(J43*$B$7+IF($A43&gt;=Premissas!$B$38+$D$7,$F$7,0))*(1-$E$7)*(1-Premissas!$B$53)</f>
        <v/>
      </c>
      <c r="L43" s="56">
        <f>-(J43*Premissas!$B$19+MAX(0,J43-J42)*Premissas!$B$24+IF($A43-$D$7&lt;=2,Premissas!$B$41,IF($A43-$D$7&lt;=5,Premissas!$B$42,IF($A43-$D$7&lt;=8,Premissas!$B$43,$G$7)))+IF($A43=1+$D$7,Premissas!$B$47,IF($A43=3+$D$7,Premissas!$B$48,IF($A43=6+$D$7,Premissas!$B$49,0))))</f>
        <v/>
      </c>
      <c r="M43" s="56">
        <f>K43+L43</f>
        <v/>
      </c>
      <c r="N43" s="56">
        <f>N42+M43</f>
        <v/>
      </c>
      <c r="O43" s="57">
        <f>IF(M43&gt;0,$A43,9999)</f>
        <v/>
      </c>
      <c r="P43" s="57">
        <f>IF(N43&gt;0,$A43,9999)</f>
        <v/>
      </c>
      <c r="Q43" s="55">
        <f>IF($A43-$D$8&lt;Premissas!$B$31,0,$C$8*(Premissas!$B$28+(Premissas!$B$29-Premissas!$B$28)*$A43/36)/(1+EXP(-Premissas!$B$33*($A43-$D$8-Premissas!$B$32))))</f>
        <v/>
      </c>
      <c r="R43" s="56">
        <f>(Q43*$B$8+IF($A43&gt;=Premissas!$B$38+$D$8,$F$8,0))*(1-$E$8)*(1-Premissas!$B$53)</f>
        <v/>
      </c>
      <c r="S43" s="56">
        <f>-(Q43*Premissas!$B$19+MAX(0,Q43-Q42)*Premissas!$B$24+IF($A43-$D$8&lt;=2,Premissas!$B$41,IF($A43-$D$8&lt;=5,Premissas!$B$42,IF($A43-$D$8&lt;=8,Premissas!$B$43,$G$8)))+IF($A43=1+$D$8,Premissas!$B$47,IF($A43=3+$D$8,Premissas!$B$48,IF($A43=6+$D$8,Premissas!$B$49,0))))</f>
        <v/>
      </c>
      <c r="T43" s="56">
        <f>R43+S43</f>
        <v/>
      </c>
      <c r="U43" s="56">
        <f>U42+T43</f>
        <v/>
      </c>
      <c r="V43" s="57">
        <f>IF(T43&gt;0,$A43,9999)</f>
        <v/>
      </c>
      <c r="W43" s="57">
        <f>IF(U43&gt;0,$A43,9999)</f>
        <v/>
      </c>
      <c r="X43" s="55">
        <f>IF($A43-$D$9&lt;Premissas!$B$31,0,$C$9*(Premissas!$B$28+(Premissas!$B$29-Premissas!$B$28)*$A43/36)/(1+EXP(-Premissas!$B$33*($A43-$D$9-Premissas!$B$32))))</f>
        <v/>
      </c>
      <c r="Y43" s="56">
        <f>(X43*$B$9+IF($A43&gt;=Premissas!$B$38+$D$9,$F$9,0))*(1-$E$9)*(1-Premissas!$B$53)</f>
        <v/>
      </c>
      <c r="Z43" s="56">
        <f>-(X43*Premissas!$B$19+MAX(0,X43-X42)*Premissas!$B$24+IF($A43-$D$9&lt;=2,Premissas!$B$41,IF($A43-$D$9&lt;=5,Premissas!$B$42,IF($A43-$D$9&lt;=8,Premissas!$B$43,$G$9)))+IF($A43=1+$D$9,Premissas!$B$47,IF($A43=3+$D$9,Premissas!$B$48,IF($A43=6+$D$9,Premissas!$B$49,0))))</f>
        <v/>
      </c>
      <c r="AA43" s="56">
        <f>Y43+Z43</f>
        <v/>
      </c>
      <c r="AB43" s="56">
        <f>AB42+AA43</f>
        <v/>
      </c>
      <c r="AC43" s="57">
        <f>IF(AA43&gt;0,$A43,9999)</f>
        <v/>
      </c>
      <c r="AD43" s="57">
        <f>IF(AB43&gt;0,$A43,9999)</f>
        <v/>
      </c>
      <c r="AE43" s="55">
        <f>IF($A43-$D$10&lt;Premissas!$B$31,0,$C$10*(Premissas!$B$28+(Premissas!$B$29-Premissas!$B$28)*$A43/36)/(1+EXP(-Premissas!$B$33*($A43-$D$10-Premissas!$B$32))))</f>
        <v/>
      </c>
      <c r="AF43" s="56">
        <f>(AE43*$B$10+IF($A43&gt;=Premissas!$B$38+$D$10,$F$10,0))*(1-$E$10)*(1-Premissas!$B$53)</f>
        <v/>
      </c>
      <c r="AG43" s="56">
        <f>-(AE43*Premissas!$B$19+MAX(0,AE43-AE42)*Premissas!$B$24+IF($A43-$D$10&lt;=2,Premissas!$B$41,IF($A43-$D$10&lt;=5,Premissas!$B$42,IF($A43-$D$10&lt;=8,Premissas!$B$43,$G$10)))+IF($A43=1+$D$10,Premissas!$B$47,IF($A43=3+$D$10,Premissas!$B$48,IF($A43=6+$D$10,Premissas!$B$49,0))))</f>
        <v/>
      </c>
      <c r="AH43" s="56">
        <f>AF43+AG43</f>
        <v/>
      </c>
      <c r="AI43" s="56">
        <f>AI42+AH43</f>
        <v/>
      </c>
      <c r="AJ43" s="57">
        <f>IF(AH43&gt;0,$A43,9999)</f>
        <v/>
      </c>
      <c r="AK43" s="57">
        <f>IF(AI43&gt;0,$A43,9999)</f>
        <v/>
      </c>
      <c r="AL43" s="55">
        <f>IF($A43-$D$11&lt;Premissas!$B$31,0,$C$11*(Premissas!$B$28+(Premissas!$B$29-Premissas!$B$28)*$A43/36)/(1+EXP(-Premissas!$B$33*($A43-$D$11-Premissas!$B$32))))</f>
        <v/>
      </c>
      <c r="AM43" s="56">
        <f>(AL43*$B$11+IF($A43&gt;=Premissas!$B$38+$D$11,$F$11,0))*(1-$E$11)*(1-Premissas!$B$53)</f>
        <v/>
      </c>
      <c r="AN43" s="56">
        <f>-(AL43*Premissas!$B$19+MAX(0,AL43-AL42)*Premissas!$B$24+IF($A43-$D$11&lt;=2,Premissas!$B$41,IF($A43-$D$11&lt;=5,Premissas!$B$42,IF($A43-$D$11&lt;=8,Premissas!$B$43,$G$11)))+IF($A43=1+$D$11,Premissas!$B$47,IF($A43=3+$D$11,Premissas!$B$48,IF($A43=6+$D$11,Premissas!$B$49,0))))</f>
        <v/>
      </c>
      <c r="AO43" s="56">
        <f>AM43+AN43</f>
        <v/>
      </c>
      <c r="AP43" s="56">
        <f>AP42+AO43</f>
        <v/>
      </c>
      <c r="AQ43" s="57">
        <f>IF(AO43&gt;0,$A43,9999)</f>
        <v/>
      </c>
      <c r="AR43" s="57">
        <f>IF(AP43&gt;0,$A43,9999)</f>
        <v/>
      </c>
      <c r="AS43" s="55">
        <f>IF($A43-$D$12&lt;Premissas!$B$31,0,$C$12*(Premissas!$B$28+(Premissas!$B$29-Premissas!$B$28)*$A43/36)/(1+EXP(-Premissas!$B$33*($A43-$D$12-Premissas!$B$32))))</f>
        <v/>
      </c>
      <c r="AT43" s="56">
        <f>(AS43*$B$12+IF($A43&gt;=Premissas!$B$38+$D$12,$F$12,0))*(1-$E$12)*(1-Premissas!$B$53)</f>
        <v/>
      </c>
      <c r="AU43" s="56">
        <f>-(AS43*Premissas!$B$19+MAX(0,AS43-AS42)*Premissas!$B$24+IF($A43-$D$12&lt;=2,Premissas!$B$41,IF($A43-$D$12&lt;=5,Premissas!$B$42,IF($A43-$D$12&lt;=8,Premissas!$B$43,$G$12)))+IF($A43=1+$D$12,Premissas!$B$47,IF($A43=3+$D$12,Premissas!$B$48,IF($A43=6+$D$12,Premissas!$B$49,0))))</f>
        <v/>
      </c>
      <c r="AV43" s="56">
        <f>AT43+AU43</f>
        <v/>
      </c>
      <c r="AW43" s="56">
        <f>AW42+AV43</f>
        <v/>
      </c>
      <c r="AX43" s="57">
        <f>IF(AV43&gt;0,$A43,9999)</f>
        <v/>
      </c>
      <c r="AY43" s="57">
        <f>IF(AW43&gt;0,$A43,9999)</f>
        <v/>
      </c>
      <c r="AZ43" s="55">
        <f>IF($A43-$D$13&lt;Premissas!$B$31,0,$C$13*(Premissas!$B$28+(Premissas!$B$29-Premissas!$B$28)*$A43/36)/(1+EXP(-Premissas!$B$33*($A43-$D$13-Premissas!$B$32))))</f>
        <v/>
      </c>
      <c r="BA43" s="56">
        <f>(AZ43*$B$13+IF($A43&gt;=Premissas!$B$38+$D$13,$F$13,0))*(1-$E$13)*(1-Premissas!$B$53)</f>
        <v/>
      </c>
      <c r="BB43" s="56">
        <f>-(AZ43*Premissas!$B$19+MAX(0,AZ43-AZ42)*Premissas!$B$24+IF($A43-$D$13&lt;=2,Premissas!$B$41,IF($A43-$D$13&lt;=5,Premissas!$B$42,IF($A43-$D$13&lt;=8,Premissas!$B$43,$G$13)))+IF($A43=1+$D$13,Premissas!$B$47,IF($A43=3+$D$13,Premissas!$B$48,IF($A43=6+$D$13,Premissas!$B$49,0))))</f>
        <v/>
      </c>
      <c r="BC43" s="56">
        <f>BA43+BB43</f>
        <v/>
      </c>
      <c r="BD43" s="56">
        <f>BD42+BC43</f>
        <v/>
      </c>
      <c r="BE43" s="57">
        <f>IF(BC43&gt;0,$A43,9999)</f>
        <v/>
      </c>
      <c r="BF43" s="57">
        <f>IF(BD43&gt;0,$A43,9999)</f>
        <v/>
      </c>
      <c r="BG43" s="55">
        <f>IF($A43-$D$14&lt;Premissas!$B$31,0,$C$14*(Premissas!$B$28+(Premissas!$B$29-Premissas!$B$28)*$A43/36)/(1+EXP(-Premissas!$B$33*($A43-$D$14-Premissas!$B$32))))</f>
        <v/>
      </c>
      <c r="BH43" s="56">
        <f>(BG43*$B$14+IF($A43&gt;=Premissas!$B$38+$D$14,$F$14,0))*(1-$E$14)*(1-Premissas!$B$53)</f>
        <v/>
      </c>
      <c r="BI43" s="56">
        <f>-(BG43*Premissas!$B$19+MAX(0,BG43-BG42)*Premissas!$B$24+IF($A43-$D$14&lt;=2,Premissas!$B$41,IF($A43-$D$14&lt;=5,Premissas!$B$42,IF($A43-$D$14&lt;=8,Premissas!$B$43,$G$14)))+IF($A43=1+$D$14,Premissas!$B$47,IF($A43=3+$D$14,Premissas!$B$48,IF($A43=6+$D$14,Premissas!$B$49,0))))</f>
        <v/>
      </c>
      <c r="BJ43" s="56">
        <f>BH43+BI43</f>
        <v/>
      </c>
      <c r="BK43" s="56">
        <f>BK42+BJ43</f>
        <v/>
      </c>
      <c r="BL43" s="57">
        <f>IF(BJ43&gt;0,$A43,9999)</f>
        <v/>
      </c>
      <c r="BM43" s="57">
        <f>IF(BK43&gt;0,$A43,9999)</f>
        <v/>
      </c>
      <c r="BN43" s="55">
        <f>IF($A43-$D$15&lt;Premissas!$B$31,0,$C$15*(Premissas!$B$28+(Premissas!$B$29-Premissas!$B$28)*$A43/36)/(1+EXP(-Premissas!$B$33*($A43-$D$15-Premissas!$B$32))))</f>
        <v/>
      </c>
      <c r="BO43" s="56">
        <f>(BN43*$B$15+IF($A43&gt;=Premissas!$B$38+$D$15,$F$15,0))*(1-$E$15)*(1-Premissas!$B$53)</f>
        <v/>
      </c>
      <c r="BP43" s="56">
        <f>-(BN43*Premissas!$B$19+MAX(0,BN43-BN42)*Premissas!$B$24+IF($A43-$D$15&lt;=2,Premissas!$B$41,IF($A43-$D$15&lt;=5,Premissas!$B$42,IF($A43-$D$15&lt;=8,Premissas!$B$43,$G$15)))+IF($A43=1+$D$15,Premissas!$B$47,IF($A43=3+$D$15,Premissas!$B$48,IF($A43=6+$D$15,Premissas!$B$49,0))))</f>
        <v/>
      </c>
      <c r="BQ43" s="56">
        <f>BO43+BP43</f>
        <v/>
      </c>
      <c r="BR43" s="56">
        <f>BR42+BQ43</f>
        <v/>
      </c>
      <c r="BS43" s="57">
        <f>IF(BQ43&gt;0,$A43,9999)</f>
        <v/>
      </c>
      <c r="BT43" s="57">
        <f>IF(BR43&gt;0,$A43,9999)</f>
        <v/>
      </c>
    </row>
    <row r="44">
      <c r="A44" s="12" t="n">
        <v>9</v>
      </c>
      <c r="C44" s="55">
        <f>IF($A44-$D$6&lt;Premissas!$B$31,0,$C$6*(Premissas!$B$28+(Premissas!$B$29-Premissas!$B$28)*$A44/36)/(1+EXP(-Premissas!$B$33*($A44-$D$6-Premissas!$B$32))))</f>
        <v/>
      </c>
      <c r="D44" s="56">
        <f>(C44*$B$6+IF($A44&gt;=Premissas!$B$38+$D$6,$F$6,0))*(1-$E$6)*(1-Premissas!$B$53)</f>
        <v/>
      </c>
      <c r="E44" s="56">
        <f>-(C44*Premissas!$B$19+MAX(0,C44-C43)*Premissas!$B$24+IF($A44-$D$6&lt;=2,Premissas!$B$41,IF($A44-$D$6&lt;=5,Premissas!$B$42,IF($A44-$D$6&lt;=8,Premissas!$B$43,$G$6)))+IF($A44=1+$D$6,Premissas!$B$47,IF($A44=3+$D$6,Premissas!$B$48,IF($A44=6+$D$6,Premissas!$B$49,0))))</f>
        <v/>
      </c>
      <c r="F44" s="56">
        <f>D44+E44</f>
        <v/>
      </c>
      <c r="G44" s="56">
        <f>G43+F44</f>
        <v/>
      </c>
      <c r="H44" s="57">
        <f>IF(F44&gt;0,$A44,9999)</f>
        <v/>
      </c>
      <c r="I44" s="57">
        <f>IF(G44&gt;0,$A44,9999)</f>
        <v/>
      </c>
      <c r="J44" s="55">
        <f>IF($A44-$D$7&lt;Premissas!$B$31,0,$C$7*(Premissas!$B$28+(Premissas!$B$29-Premissas!$B$28)*$A44/36)/(1+EXP(-Premissas!$B$33*($A44-$D$7-Premissas!$B$32))))</f>
        <v/>
      </c>
      <c r="K44" s="56">
        <f>(J44*$B$7+IF($A44&gt;=Premissas!$B$38+$D$7,$F$7,0))*(1-$E$7)*(1-Premissas!$B$53)</f>
        <v/>
      </c>
      <c r="L44" s="56">
        <f>-(J44*Premissas!$B$19+MAX(0,J44-J43)*Premissas!$B$24+IF($A44-$D$7&lt;=2,Premissas!$B$41,IF($A44-$D$7&lt;=5,Premissas!$B$42,IF($A44-$D$7&lt;=8,Premissas!$B$43,$G$7)))+IF($A44=1+$D$7,Premissas!$B$47,IF($A44=3+$D$7,Premissas!$B$48,IF($A44=6+$D$7,Premissas!$B$49,0))))</f>
        <v/>
      </c>
      <c r="M44" s="56">
        <f>K44+L44</f>
        <v/>
      </c>
      <c r="N44" s="56">
        <f>N43+M44</f>
        <v/>
      </c>
      <c r="O44" s="57">
        <f>IF(M44&gt;0,$A44,9999)</f>
        <v/>
      </c>
      <c r="P44" s="57">
        <f>IF(N44&gt;0,$A44,9999)</f>
        <v/>
      </c>
      <c r="Q44" s="55">
        <f>IF($A44-$D$8&lt;Premissas!$B$31,0,$C$8*(Premissas!$B$28+(Premissas!$B$29-Premissas!$B$28)*$A44/36)/(1+EXP(-Premissas!$B$33*($A44-$D$8-Premissas!$B$32))))</f>
        <v/>
      </c>
      <c r="R44" s="56">
        <f>(Q44*$B$8+IF($A44&gt;=Premissas!$B$38+$D$8,$F$8,0))*(1-$E$8)*(1-Premissas!$B$53)</f>
        <v/>
      </c>
      <c r="S44" s="56">
        <f>-(Q44*Premissas!$B$19+MAX(0,Q44-Q43)*Premissas!$B$24+IF($A44-$D$8&lt;=2,Premissas!$B$41,IF($A44-$D$8&lt;=5,Premissas!$B$42,IF($A44-$D$8&lt;=8,Premissas!$B$43,$G$8)))+IF($A44=1+$D$8,Premissas!$B$47,IF($A44=3+$D$8,Premissas!$B$48,IF($A44=6+$D$8,Premissas!$B$49,0))))</f>
        <v/>
      </c>
      <c r="T44" s="56">
        <f>R44+S44</f>
        <v/>
      </c>
      <c r="U44" s="56">
        <f>U43+T44</f>
        <v/>
      </c>
      <c r="V44" s="57">
        <f>IF(T44&gt;0,$A44,9999)</f>
        <v/>
      </c>
      <c r="W44" s="57">
        <f>IF(U44&gt;0,$A44,9999)</f>
        <v/>
      </c>
      <c r="X44" s="55">
        <f>IF($A44-$D$9&lt;Premissas!$B$31,0,$C$9*(Premissas!$B$28+(Premissas!$B$29-Premissas!$B$28)*$A44/36)/(1+EXP(-Premissas!$B$33*($A44-$D$9-Premissas!$B$32))))</f>
        <v/>
      </c>
      <c r="Y44" s="56">
        <f>(X44*$B$9+IF($A44&gt;=Premissas!$B$38+$D$9,$F$9,0))*(1-$E$9)*(1-Premissas!$B$53)</f>
        <v/>
      </c>
      <c r="Z44" s="56">
        <f>-(X44*Premissas!$B$19+MAX(0,X44-X43)*Premissas!$B$24+IF($A44-$D$9&lt;=2,Premissas!$B$41,IF($A44-$D$9&lt;=5,Premissas!$B$42,IF($A44-$D$9&lt;=8,Premissas!$B$43,$G$9)))+IF($A44=1+$D$9,Premissas!$B$47,IF($A44=3+$D$9,Premissas!$B$48,IF($A44=6+$D$9,Premissas!$B$49,0))))</f>
        <v/>
      </c>
      <c r="AA44" s="56">
        <f>Y44+Z44</f>
        <v/>
      </c>
      <c r="AB44" s="56">
        <f>AB43+AA44</f>
        <v/>
      </c>
      <c r="AC44" s="57">
        <f>IF(AA44&gt;0,$A44,9999)</f>
        <v/>
      </c>
      <c r="AD44" s="57">
        <f>IF(AB44&gt;0,$A44,9999)</f>
        <v/>
      </c>
      <c r="AE44" s="55">
        <f>IF($A44-$D$10&lt;Premissas!$B$31,0,$C$10*(Premissas!$B$28+(Premissas!$B$29-Premissas!$B$28)*$A44/36)/(1+EXP(-Premissas!$B$33*($A44-$D$10-Premissas!$B$32))))</f>
        <v/>
      </c>
      <c r="AF44" s="56">
        <f>(AE44*$B$10+IF($A44&gt;=Premissas!$B$38+$D$10,$F$10,0))*(1-$E$10)*(1-Premissas!$B$53)</f>
        <v/>
      </c>
      <c r="AG44" s="56">
        <f>-(AE44*Premissas!$B$19+MAX(0,AE44-AE43)*Premissas!$B$24+IF($A44-$D$10&lt;=2,Premissas!$B$41,IF($A44-$D$10&lt;=5,Premissas!$B$42,IF($A44-$D$10&lt;=8,Premissas!$B$43,$G$10)))+IF($A44=1+$D$10,Premissas!$B$47,IF($A44=3+$D$10,Premissas!$B$48,IF($A44=6+$D$10,Premissas!$B$49,0))))</f>
        <v/>
      </c>
      <c r="AH44" s="56">
        <f>AF44+AG44</f>
        <v/>
      </c>
      <c r="AI44" s="56">
        <f>AI43+AH44</f>
        <v/>
      </c>
      <c r="AJ44" s="57">
        <f>IF(AH44&gt;0,$A44,9999)</f>
        <v/>
      </c>
      <c r="AK44" s="57">
        <f>IF(AI44&gt;0,$A44,9999)</f>
        <v/>
      </c>
      <c r="AL44" s="55">
        <f>IF($A44-$D$11&lt;Premissas!$B$31,0,$C$11*(Premissas!$B$28+(Premissas!$B$29-Premissas!$B$28)*$A44/36)/(1+EXP(-Premissas!$B$33*($A44-$D$11-Premissas!$B$32))))</f>
        <v/>
      </c>
      <c r="AM44" s="56">
        <f>(AL44*$B$11+IF($A44&gt;=Premissas!$B$38+$D$11,$F$11,0))*(1-$E$11)*(1-Premissas!$B$53)</f>
        <v/>
      </c>
      <c r="AN44" s="56">
        <f>-(AL44*Premissas!$B$19+MAX(0,AL44-AL43)*Premissas!$B$24+IF($A44-$D$11&lt;=2,Premissas!$B$41,IF($A44-$D$11&lt;=5,Premissas!$B$42,IF($A44-$D$11&lt;=8,Premissas!$B$43,$G$11)))+IF($A44=1+$D$11,Premissas!$B$47,IF($A44=3+$D$11,Premissas!$B$48,IF($A44=6+$D$11,Premissas!$B$49,0))))</f>
        <v/>
      </c>
      <c r="AO44" s="56">
        <f>AM44+AN44</f>
        <v/>
      </c>
      <c r="AP44" s="56">
        <f>AP43+AO44</f>
        <v/>
      </c>
      <c r="AQ44" s="57">
        <f>IF(AO44&gt;0,$A44,9999)</f>
        <v/>
      </c>
      <c r="AR44" s="57">
        <f>IF(AP44&gt;0,$A44,9999)</f>
        <v/>
      </c>
      <c r="AS44" s="55">
        <f>IF($A44-$D$12&lt;Premissas!$B$31,0,$C$12*(Premissas!$B$28+(Premissas!$B$29-Premissas!$B$28)*$A44/36)/(1+EXP(-Premissas!$B$33*($A44-$D$12-Premissas!$B$32))))</f>
        <v/>
      </c>
      <c r="AT44" s="56">
        <f>(AS44*$B$12+IF($A44&gt;=Premissas!$B$38+$D$12,$F$12,0))*(1-$E$12)*(1-Premissas!$B$53)</f>
        <v/>
      </c>
      <c r="AU44" s="56">
        <f>-(AS44*Premissas!$B$19+MAX(0,AS44-AS43)*Premissas!$B$24+IF($A44-$D$12&lt;=2,Premissas!$B$41,IF($A44-$D$12&lt;=5,Premissas!$B$42,IF($A44-$D$12&lt;=8,Premissas!$B$43,$G$12)))+IF($A44=1+$D$12,Premissas!$B$47,IF($A44=3+$D$12,Premissas!$B$48,IF($A44=6+$D$12,Premissas!$B$49,0))))</f>
        <v/>
      </c>
      <c r="AV44" s="56">
        <f>AT44+AU44</f>
        <v/>
      </c>
      <c r="AW44" s="56">
        <f>AW43+AV44</f>
        <v/>
      </c>
      <c r="AX44" s="57">
        <f>IF(AV44&gt;0,$A44,9999)</f>
        <v/>
      </c>
      <c r="AY44" s="57">
        <f>IF(AW44&gt;0,$A44,9999)</f>
        <v/>
      </c>
      <c r="AZ44" s="55">
        <f>IF($A44-$D$13&lt;Premissas!$B$31,0,$C$13*(Premissas!$B$28+(Premissas!$B$29-Premissas!$B$28)*$A44/36)/(1+EXP(-Premissas!$B$33*($A44-$D$13-Premissas!$B$32))))</f>
        <v/>
      </c>
      <c r="BA44" s="56">
        <f>(AZ44*$B$13+IF($A44&gt;=Premissas!$B$38+$D$13,$F$13,0))*(1-$E$13)*(1-Premissas!$B$53)</f>
        <v/>
      </c>
      <c r="BB44" s="56">
        <f>-(AZ44*Premissas!$B$19+MAX(0,AZ44-AZ43)*Premissas!$B$24+IF($A44-$D$13&lt;=2,Premissas!$B$41,IF($A44-$D$13&lt;=5,Premissas!$B$42,IF($A44-$D$13&lt;=8,Premissas!$B$43,$G$13)))+IF($A44=1+$D$13,Premissas!$B$47,IF($A44=3+$D$13,Premissas!$B$48,IF($A44=6+$D$13,Premissas!$B$49,0))))</f>
        <v/>
      </c>
      <c r="BC44" s="56">
        <f>BA44+BB44</f>
        <v/>
      </c>
      <c r="BD44" s="56">
        <f>BD43+BC44</f>
        <v/>
      </c>
      <c r="BE44" s="57">
        <f>IF(BC44&gt;0,$A44,9999)</f>
        <v/>
      </c>
      <c r="BF44" s="57">
        <f>IF(BD44&gt;0,$A44,9999)</f>
        <v/>
      </c>
      <c r="BG44" s="55">
        <f>IF($A44-$D$14&lt;Premissas!$B$31,0,$C$14*(Premissas!$B$28+(Premissas!$B$29-Premissas!$B$28)*$A44/36)/(1+EXP(-Premissas!$B$33*($A44-$D$14-Premissas!$B$32))))</f>
        <v/>
      </c>
      <c r="BH44" s="56">
        <f>(BG44*$B$14+IF($A44&gt;=Premissas!$B$38+$D$14,$F$14,0))*(1-$E$14)*(1-Premissas!$B$53)</f>
        <v/>
      </c>
      <c r="BI44" s="56">
        <f>-(BG44*Premissas!$B$19+MAX(0,BG44-BG43)*Premissas!$B$24+IF($A44-$D$14&lt;=2,Premissas!$B$41,IF($A44-$D$14&lt;=5,Premissas!$B$42,IF($A44-$D$14&lt;=8,Premissas!$B$43,$G$14)))+IF($A44=1+$D$14,Premissas!$B$47,IF($A44=3+$D$14,Premissas!$B$48,IF($A44=6+$D$14,Premissas!$B$49,0))))</f>
        <v/>
      </c>
      <c r="BJ44" s="56">
        <f>BH44+BI44</f>
        <v/>
      </c>
      <c r="BK44" s="56">
        <f>BK43+BJ44</f>
        <v/>
      </c>
      <c r="BL44" s="57">
        <f>IF(BJ44&gt;0,$A44,9999)</f>
        <v/>
      </c>
      <c r="BM44" s="57">
        <f>IF(BK44&gt;0,$A44,9999)</f>
        <v/>
      </c>
      <c r="BN44" s="55">
        <f>IF($A44-$D$15&lt;Premissas!$B$31,0,$C$15*(Premissas!$B$28+(Premissas!$B$29-Premissas!$B$28)*$A44/36)/(1+EXP(-Premissas!$B$33*($A44-$D$15-Premissas!$B$32))))</f>
        <v/>
      </c>
      <c r="BO44" s="56">
        <f>(BN44*$B$15+IF($A44&gt;=Premissas!$B$38+$D$15,$F$15,0))*(1-$E$15)*(1-Premissas!$B$53)</f>
        <v/>
      </c>
      <c r="BP44" s="56">
        <f>-(BN44*Premissas!$B$19+MAX(0,BN44-BN43)*Premissas!$B$24+IF($A44-$D$15&lt;=2,Premissas!$B$41,IF($A44-$D$15&lt;=5,Premissas!$B$42,IF($A44-$D$15&lt;=8,Premissas!$B$43,$G$15)))+IF($A44=1+$D$15,Premissas!$B$47,IF($A44=3+$D$15,Premissas!$B$48,IF($A44=6+$D$15,Premissas!$B$49,0))))</f>
        <v/>
      </c>
      <c r="BQ44" s="56">
        <f>BO44+BP44</f>
        <v/>
      </c>
      <c r="BR44" s="56">
        <f>BR43+BQ44</f>
        <v/>
      </c>
      <c r="BS44" s="57">
        <f>IF(BQ44&gt;0,$A44,9999)</f>
        <v/>
      </c>
      <c r="BT44" s="57">
        <f>IF(BR44&gt;0,$A44,9999)</f>
        <v/>
      </c>
    </row>
    <row r="45">
      <c r="A45" s="12" t="n">
        <v>10</v>
      </c>
      <c r="C45" s="55">
        <f>IF($A45-$D$6&lt;Premissas!$B$31,0,$C$6*(Premissas!$B$28+(Premissas!$B$29-Premissas!$B$28)*$A45/36)/(1+EXP(-Premissas!$B$33*($A45-$D$6-Premissas!$B$32))))</f>
        <v/>
      </c>
      <c r="D45" s="56">
        <f>(C45*$B$6+IF($A45&gt;=Premissas!$B$38+$D$6,$F$6,0))*(1-$E$6)*(1-Premissas!$B$53)</f>
        <v/>
      </c>
      <c r="E45" s="56">
        <f>-(C45*Premissas!$B$19+MAX(0,C45-C44)*Premissas!$B$24+IF($A45-$D$6&lt;=2,Premissas!$B$41,IF($A45-$D$6&lt;=5,Premissas!$B$42,IF($A45-$D$6&lt;=8,Premissas!$B$43,$G$6)))+IF($A45=1+$D$6,Premissas!$B$47,IF($A45=3+$D$6,Premissas!$B$48,IF($A45=6+$D$6,Premissas!$B$49,0))))</f>
        <v/>
      </c>
      <c r="F45" s="56">
        <f>D45+E45</f>
        <v/>
      </c>
      <c r="G45" s="56">
        <f>G44+F45</f>
        <v/>
      </c>
      <c r="H45" s="57">
        <f>IF(F45&gt;0,$A45,9999)</f>
        <v/>
      </c>
      <c r="I45" s="57">
        <f>IF(G45&gt;0,$A45,9999)</f>
        <v/>
      </c>
      <c r="J45" s="55">
        <f>IF($A45-$D$7&lt;Premissas!$B$31,0,$C$7*(Premissas!$B$28+(Premissas!$B$29-Premissas!$B$28)*$A45/36)/(1+EXP(-Premissas!$B$33*($A45-$D$7-Premissas!$B$32))))</f>
        <v/>
      </c>
      <c r="K45" s="56">
        <f>(J45*$B$7+IF($A45&gt;=Premissas!$B$38+$D$7,$F$7,0))*(1-$E$7)*(1-Premissas!$B$53)</f>
        <v/>
      </c>
      <c r="L45" s="56">
        <f>-(J45*Premissas!$B$19+MAX(0,J45-J44)*Premissas!$B$24+IF($A45-$D$7&lt;=2,Premissas!$B$41,IF($A45-$D$7&lt;=5,Premissas!$B$42,IF($A45-$D$7&lt;=8,Premissas!$B$43,$G$7)))+IF($A45=1+$D$7,Premissas!$B$47,IF($A45=3+$D$7,Premissas!$B$48,IF($A45=6+$D$7,Premissas!$B$49,0))))</f>
        <v/>
      </c>
      <c r="M45" s="56">
        <f>K45+L45</f>
        <v/>
      </c>
      <c r="N45" s="56">
        <f>N44+M45</f>
        <v/>
      </c>
      <c r="O45" s="57">
        <f>IF(M45&gt;0,$A45,9999)</f>
        <v/>
      </c>
      <c r="P45" s="57">
        <f>IF(N45&gt;0,$A45,9999)</f>
        <v/>
      </c>
      <c r="Q45" s="55">
        <f>IF($A45-$D$8&lt;Premissas!$B$31,0,$C$8*(Premissas!$B$28+(Premissas!$B$29-Premissas!$B$28)*$A45/36)/(1+EXP(-Premissas!$B$33*($A45-$D$8-Premissas!$B$32))))</f>
        <v/>
      </c>
      <c r="R45" s="56">
        <f>(Q45*$B$8+IF($A45&gt;=Premissas!$B$38+$D$8,$F$8,0))*(1-$E$8)*(1-Premissas!$B$53)</f>
        <v/>
      </c>
      <c r="S45" s="56">
        <f>-(Q45*Premissas!$B$19+MAX(0,Q45-Q44)*Premissas!$B$24+IF($A45-$D$8&lt;=2,Premissas!$B$41,IF($A45-$D$8&lt;=5,Premissas!$B$42,IF($A45-$D$8&lt;=8,Premissas!$B$43,$G$8)))+IF($A45=1+$D$8,Premissas!$B$47,IF($A45=3+$D$8,Premissas!$B$48,IF($A45=6+$D$8,Premissas!$B$49,0))))</f>
        <v/>
      </c>
      <c r="T45" s="56">
        <f>R45+S45</f>
        <v/>
      </c>
      <c r="U45" s="56">
        <f>U44+T45</f>
        <v/>
      </c>
      <c r="V45" s="57">
        <f>IF(T45&gt;0,$A45,9999)</f>
        <v/>
      </c>
      <c r="W45" s="57">
        <f>IF(U45&gt;0,$A45,9999)</f>
        <v/>
      </c>
      <c r="X45" s="55">
        <f>IF($A45-$D$9&lt;Premissas!$B$31,0,$C$9*(Premissas!$B$28+(Premissas!$B$29-Premissas!$B$28)*$A45/36)/(1+EXP(-Premissas!$B$33*($A45-$D$9-Premissas!$B$32))))</f>
        <v/>
      </c>
      <c r="Y45" s="56">
        <f>(X45*$B$9+IF($A45&gt;=Premissas!$B$38+$D$9,$F$9,0))*(1-$E$9)*(1-Premissas!$B$53)</f>
        <v/>
      </c>
      <c r="Z45" s="56">
        <f>-(X45*Premissas!$B$19+MAX(0,X45-X44)*Premissas!$B$24+IF($A45-$D$9&lt;=2,Premissas!$B$41,IF($A45-$D$9&lt;=5,Premissas!$B$42,IF($A45-$D$9&lt;=8,Premissas!$B$43,$G$9)))+IF($A45=1+$D$9,Premissas!$B$47,IF($A45=3+$D$9,Premissas!$B$48,IF($A45=6+$D$9,Premissas!$B$49,0))))</f>
        <v/>
      </c>
      <c r="AA45" s="56">
        <f>Y45+Z45</f>
        <v/>
      </c>
      <c r="AB45" s="56">
        <f>AB44+AA45</f>
        <v/>
      </c>
      <c r="AC45" s="57">
        <f>IF(AA45&gt;0,$A45,9999)</f>
        <v/>
      </c>
      <c r="AD45" s="57">
        <f>IF(AB45&gt;0,$A45,9999)</f>
        <v/>
      </c>
      <c r="AE45" s="55">
        <f>IF($A45-$D$10&lt;Premissas!$B$31,0,$C$10*(Premissas!$B$28+(Premissas!$B$29-Premissas!$B$28)*$A45/36)/(1+EXP(-Premissas!$B$33*($A45-$D$10-Premissas!$B$32))))</f>
        <v/>
      </c>
      <c r="AF45" s="56">
        <f>(AE45*$B$10+IF($A45&gt;=Premissas!$B$38+$D$10,$F$10,0))*(1-$E$10)*(1-Premissas!$B$53)</f>
        <v/>
      </c>
      <c r="AG45" s="56">
        <f>-(AE45*Premissas!$B$19+MAX(0,AE45-AE44)*Premissas!$B$24+IF($A45-$D$10&lt;=2,Premissas!$B$41,IF($A45-$D$10&lt;=5,Premissas!$B$42,IF($A45-$D$10&lt;=8,Premissas!$B$43,$G$10)))+IF($A45=1+$D$10,Premissas!$B$47,IF($A45=3+$D$10,Premissas!$B$48,IF($A45=6+$D$10,Premissas!$B$49,0))))</f>
        <v/>
      </c>
      <c r="AH45" s="56">
        <f>AF45+AG45</f>
        <v/>
      </c>
      <c r="AI45" s="56">
        <f>AI44+AH45</f>
        <v/>
      </c>
      <c r="AJ45" s="57">
        <f>IF(AH45&gt;0,$A45,9999)</f>
        <v/>
      </c>
      <c r="AK45" s="57">
        <f>IF(AI45&gt;0,$A45,9999)</f>
        <v/>
      </c>
      <c r="AL45" s="55">
        <f>IF($A45-$D$11&lt;Premissas!$B$31,0,$C$11*(Premissas!$B$28+(Premissas!$B$29-Premissas!$B$28)*$A45/36)/(1+EXP(-Premissas!$B$33*($A45-$D$11-Premissas!$B$32))))</f>
        <v/>
      </c>
      <c r="AM45" s="56">
        <f>(AL45*$B$11+IF($A45&gt;=Premissas!$B$38+$D$11,$F$11,0))*(1-$E$11)*(1-Premissas!$B$53)</f>
        <v/>
      </c>
      <c r="AN45" s="56">
        <f>-(AL45*Premissas!$B$19+MAX(0,AL45-AL44)*Premissas!$B$24+IF($A45-$D$11&lt;=2,Premissas!$B$41,IF($A45-$D$11&lt;=5,Premissas!$B$42,IF($A45-$D$11&lt;=8,Premissas!$B$43,$G$11)))+IF($A45=1+$D$11,Premissas!$B$47,IF($A45=3+$D$11,Premissas!$B$48,IF($A45=6+$D$11,Premissas!$B$49,0))))</f>
        <v/>
      </c>
      <c r="AO45" s="56">
        <f>AM45+AN45</f>
        <v/>
      </c>
      <c r="AP45" s="56">
        <f>AP44+AO45</f>
        <v/>
      </c>
      <c r="AQ45" s="57">
        <f>IF(AO45&gt;0,$A45,9999)</f>
        <v/>
      </c>
      <c r="AR45" s="57">
        <f>IF(AP45&gt;0,$A45,9999)</f>
        <v/>
      </c>
      <c r="AS45" s="55">
        <f>IF($A45-$D$12&lt;Premissas!$B$31,0,$C$12*(Premissas!$B$28+(Premissas!$B$29-Premissas!$B$28)*$A45/36)/(1+EXP(-Premissas!$B$33*($A45-$D$12-Premissas!$B$32))))</f>
        <v/>
      </c>
      <c r="AT45" s="56">
        <f>(AS45*$B$12+IF($A45&gt;=Premissas!$B$38+$D$12,$F$12,0))*(1-$E$12)*(1-Premissas!$B$53)</f>
        <v/>
      </c>
      <c r="AU45" s="56">
        <f>-(AS45*Premissas!$B$19+MAX(0,AS45-AS44)*Premissas!$B$24+IF($A45-$D$12&lt;=2,Premissas!$B$41,IF($A45-$D$12&lt;=5,Premissas!$B$42,IF($A45-$D$12&lt;=8,Premissas!$B$43,$G$12)))+IF($A45=1+$D$12,Premissas!$B$47,IF($A45=3+$D$12,Premissas!$B$48,IF($A45=6+$D$12,Premissas!$B$49,0))))</f>
        <v/>
      </c>
      <c r="AV45" s="56">
        <f>AT45+AU45</f>
        <v/>
      </c>
      <c r="AW45" s="56">
        <f>AW44+AV45</f>
        <v/>
      </c>
      <c r="AX45" s="57">
        <f>IF(AV45&gt;0,$A45,9999)</f>
        <v/>
      </c>
      <c r="AY45" s="57">
        <f>IF(AW45&gt;0,$A45,9999)</f>
        <v/>
      </c>
      <c r="AZ45" s="55">
        <f>IF($A45-$D$13&lt;Premissas!$B$31,0,$C$13*(Premissas!$B$28+(Premissas!$B$29-Premissas!$B$28)*$A45/36)/(1+EXP(-Premissas!$B$33*($A45-$D$13-Premissas!$B$32))))</f>
        <v/>
      </c>
      <c r="BA45" s="56">
        <f>(AZ45*$B$13+IF($A45&gt;=Premissas!$B$38+$D$13,$F$13,0))*(1-$E$13)*(1-Premissas!$B$53)</f>
        <v/>
      </c>
      <c r="BB45" s="56">
        <f>-(AZ45*Premissas!$B$19+MAX(0,AZ45-AZ44)*Premissas!$B$24+IF($A45-$D$13&lt;=2,Premissas!$B$41,IF($A45-$D$13&lt;=5,Premissas!$B$42,IF($A45-$D$13&lt;=8,Premissas!$B$43,$G$13)))+IF($A45=1+$D$13,Premissas!$B$47,IF($A45=3+$D$13,Premissas!$B$48,IF($A45=6+$D$13,Premissas!$B$49,0))))</f>
        <v/>
      </c>
      <c r="BC45" s="56">
        <f>BA45+BB45</f>
        <v/>
      </c>
      <c r="BD45" s="56">
        <f>BD44+BC45</f>
        <v/>
      </c>
      <c r="BE45" s="57">
        <f>IF(BC45&gt;0,$A45,9999)</f>
        <v/>
      </c>
      <c r="BF45" s="57">
        <f>IF(BD45&gt;0,$A45,9999)</f>
        <v/>
      </c>
      <c r="BG45" s="55">
        <f>IF($A45-$D$14&lt;Premissas!$B$31,0,$C$14*(Premissas!$B$28+(Premissas!$B$29-Premissas!$B$28)*$A45/36)/(1+EXP(-Premissas!$B$33*($A45-$D$14-Premissas!$B$32))))</f>
        <v/>
      </c>
      <c r="BH45" s="56">
        <f>(BG45*$B$14+IF($A45&gt;=Premissas!$B$38+$D$14,$F$14,0))*(1-$E$14)*(1-Premissas!$B$53)</f>
        <v/>
      </c>
      <c r="BI45" s="56">
        <f>-(BG45*Premissas!$B$19+MAX(0,BG45-BG44)*Premissas!$B$24+IF($A45-$D$14&lt;=2,Premissas!$B$41,IF($A45-$D$14&lt;=5,Premissas!$B$42,IF($A45-$D$14&lt;=8,Premissas!$B$43,$G$14)))+IF($A45=1+$D$14,Premissas!$B$47,IF($A45=3+$D$14,Premissas!$B$48,IF($A45=6+$D$14,Premissas!$B$49,0))))</f>
        <v/>
      </c>
      <c r="BJ45" s="56">
        <f>BH45+BI45</f>
        <v/>
      </c>
      <c r="BK45" s="56">
        <f>BK44+BJ45</f>
        <v/>
      </c>
      <c r="BL45" s="57">
        <f>IF(BJ45&gt;0,$A45,9999)</f>
        <v/>
      </c>
      <c r="BM45" s="57">
        <f>IF(BK45&gt;0,$A45,9999)</f>
        <v/>
      </c>
      <c r="BN45" s="55">
        <f>IF($A45-$D$15&lt;Premissas!$B$31,0,$C$15*(Premissas!$B$28+(Premissas!$B$29-Premissas!$B$28)*$A45/36)/(1+EXP(-Premissas!$B$33*($A45-$D$15-Premissas!$B$32))))</f>
        <v/>
      </c>
      <c r="BO45" s="56">
        <f>(BN45*$B$15+IF($A45&gt;=Premissas!$B$38+$D$15,$F$15,0))*(1-$E$15)*(1-Premissas!$B$53)</f>
        <v/>
      </c>
      <c r="BP45" s="56">
        <f>-(BN45*Premissas!$B$19+MAX(0,BN45-BN44)*Premissas!$B$24+IF($A45-$D$15&lt;=2,Premissas!$B$41,IF($A45-$D$15&lt;=5,Premissas!$B$42,IF($A45-$D$15&lt;=8,Premissas!$B$43,$G$15)))+IF($A45=1+$D$15,Premissas!$B$47,IF($A45=3+$D$15,Premissas!$B$48,IF($A45=6+$D$15,Premissas!$B$49,0))))</f>
        <v/>
      </c>
      <c r="BQ45" s="56">
        <f>BO45+BP45</f>
        <v/>
      </c>
      <c r="BR45" s="56">
        <f>BR44+BQ45</f>
        <v/>
      </c>
      <c r="BS45" s="57">
        <f>IF(BQ45&gt;0,$A45,9999)</f>
        <v/>
      </c>
      <c r="BT45" s="57">
        <f>IF(BR45&gt;0,$A45,9999)</f>
        <v/>
      </c>
    </row>
    <row r="46">
      <c r="A46" s="12" t="n">
        <v>11</v>
      </c>
      <c r="C46" s="55">
        <f>IF($A46-$D$6&lt;Premissas!$B$31,0,$C$6*(Premissas!$B$28+(Premissas!$B$29-Premissas!$B$28)*$A46/36)/(1+EXP(-Premissas!$B$33*($A46-$D$6-Premissas!$B$32))))</f>
        <v/>
      </c>
      <c r="D46" s="56">
        <f>(C46*$B$6+IF($A46&gt;=Premissas!$B$38+$D$6,$F$6,0))*(1-$E$6)*(1-Premissas!$B$53)</f>
        <v/>
      </c>
      <c r="E46" s="56">
        <f>-(C46*Premissas!$B$19+MAX(0,C46-C45)*Premissas!$B$24+IF($A46-$D$6&lt;=2,Premissas!$B$41,IF($A46-$D$6&lt;=5,Premissas!$B$42,IF($A46-$D$6&lt;=8,Premissas!$B$43,$G$6)))+IF($A46=1+$D$6,Premissas!$B$47,IF($A46=3+$D$6,Premissas!$B$48,IF($A46=6+$D$6,Premissas!$B$49,0))))</f>
        <v/>
      </c>
      <c r="F46" s="56">
        <f>D46+E46</f>
        <v/>
      </c>
      <c r="G46" s="56">
        <f>G45+F46</f>
        <v/>
      </c>
      <c r="H46" s="57">
        <f>IF(F46&gt;0,$A46,9999)</f>
        <v/>
      </c>
      <c r="I46" s="57">
        <f>IF(G46&gt;0,$A46,9999)</f>
        <v/>
      </c>
      <c r="J46" s="55">
        <f>IF($A46-$D$7&lt;Premissas!$B$31,0,$C$7*(Premissas!$B$28+(Premissas!$B$29-Premissas!$B$28)*$A46/36)/(1+EXP(-Premissas!$B$33*($A46-$D$7-Premissas!$B$32))))</f>
        <v/>
      </c>
      <c r="K46" s="56">
        <f>(J46*$B$7+IF($A46&gt;=Premissas!$B$38+$D$7,$F$7,0))*(1-$E$7)*(1-Premissas!$B$53)</f>
        <v/>
      </c>
      <c r="L46" s="56">
        <f>-(J46*Premissas!$B$19+MAX(0,J46-J45)*Premissas!$B$24+IF($A46-$D$7&lt;=2,Premissas!$B$41,IF($A46-$D$7&lt;=5,Premissas!$B$42,IF($A46-$D$7&lt;=8,Premissas!$B$43,$G$7)))+IF($A46=1+$D$7,Premissas!$B$47,IF($A46=3+$D$7,Premissas!$B$48,IF($A46=6+$D$7,Premissas!$B$49,0))))</f>
        <v/>
      </c>
      <c r="M46" s="56">
        <f>K46+L46</f>
        <v/>
      </c>
      <c r="N46" s="56">
        <f>N45+M46</f>
        <v/>
      </c>
      <c r="O46" s="57">
        <f>IF(M46&gt;0,$A46,9999)</f>
        <v/>
      </c>
      <c r="P46" s="57">
        <f>IF(N46&gt;0,$A46,9999)</f>
        <v/>
      </c>
      <c r="Q46" s="55">
        <f>IF($A46-$D$8&lt;Premissas!$B$31,0,$C$8*(Premissas!$B$28+(Premissas!$B$29-Premissas!$B$28)*$A46/36)/(1+EXP(-Premissas!$B$33*($A46-$D$8-Premissas!$B$32))))</f>
        <v/>
      </c>
      <c r="R46" s="56">
        <f>(Q46*$B$8+IF($A46&gt;=Premissas!$B$38+$D$8,$F$8,0))*(1-$E$8)*(1-Premissas!$B$53)</f>
        <v/>
      </c>
      <c r="S46" s="56">
        <f>-(Q46*Premissas!$B$19+MAX(0,Q46-Q45)*Premissas!$B$24+IF($A46-$D$8&lt;=2,Premissas!$B$41,IF($A46-$D$8&lt;=5,Premissas!$B$42,IF($A46-$D$8&lt;=8,Premissas!$B$43,$G$8)))+IF($A46=1+$D$8,Premissas!$B$47,IF($A46=3+$D$8,Premissas!$B$48,IF($A46=6+$D$8,Premissas!$B$49,0))))</f>
        <v/>
      </c>
      <c r="T46" s="56">
        <f>R46+S46</f>
        <v/>
      </c>
      <c r="U46" s="56">
        <f>U45+T46</f>
        <v/>
      </c>
      <c r="V46" s="57">
        <f>IF(T46&gt;0,$A46,9999)</f>
        <v/>
      </c>
      <c r="W46" s="57">
        <f>IF(U46&gt;0,$A46,9999)</f>
        <v/>
      </c>
      <c r="X46" s="55">
        <f>IF($A46-$D$9&lt;Premissas!$B$31,0,$C$9*(Premissas!$B$28+(Premissas!$B$29-Premissas!$B$28)*$A46/36)/(1+EXP(-Premissas!$B$33*($A46-$D$9-Premissas!$B$32))))</f>
        <v/>
      </c>
      <c r="Y46" s="56">
        <f>(X46*$B$9+IF($A46&gt;=Premissas!$B$38+$D$9,$F$9,0))*(1-$E$9)*(1-Premissas!$B$53)</f>
        <v/>
      </c>
      <c r="Z46" s="56">
        <f>-(X46*Premissas!$B$19+MAX(0,X46-X45)*Premissas!$B$24+IF($A46-$D$9&lt;=2,Premissas!$B$41,IF($A46-$D$9&lt;=5,Premissas!$B$42,IF($A46-$D$9&lt;=8,Premissas!$B$43,$G$9)))+IF($A46=1+$D$9,Premissas!$B$47,IF($A46=3+$D$9,Premissas!$B$48,IF($A46=6+$D$9,Premissas!$B$49,0))))</f>
        <v/>
      </c>
      <c r="AA46" s="56">
        <f>Y46+Z46</f>
        <v/>
      </c>
      <c r="AB46" s="56">
        <f>AB45+AA46</f>
        <v/>
      </c>
      <c r="AC46" s="57">
        <f>IF(AA46&gt;0,$A46,9999)</f>
        <v/>
      </c>
      <c r="AD46" s="57">
        <f>IF(AB46&gt;0,$A46,9999)</f>
        <v/>
      </c>
      <c r="AE46" s="55">
        <f>IF($A46-$D$10&lt;Premissas!$B$31,0,$C$10*(Premissas!$B$28+(Premissas!$B$29-Premissas!$B$28)*$A46/36)/(1+EXP(-Premissas!$B$33*($A46-$D$10-Premissas!$B$32))))</f>
        <v/>
      </c>
      <c r="AF46" s="56">
        <f>(AE46*$B$10+IF($A46&gt;=Premissas!$B$38+$D$10,$F$10,0))*(1-$E$10)*(1-Premissas!$B$53)</f>
        <v/>
      </c>
      <c r="AG46" s="56">
        <f>-(AE46*Premissas!$B$19+MAX(0,AE46-AE45)*Premissas!$B$24+IF($A46-$D$10&lt;=2,Premissas!$B$41,IF($A46-$D$10&lt;=5,Premissas!$B$42,IF($A46-$D$10&lt;=8,Premissas!$B$43,$G$10)))+IF($A46=1+$D$10,Premissas!$B$47,IF($A46=3+$D$10,Premissas!$B$48,IF($A46=6+$D$10,Premissas!$B$49,0))))</f>
        <v/>
      </c>
      <c r="AH46" s="56">
        <f>AF46+AG46</f>
        <v/>
      </c>
      <c r="AI46" s="56">
        <f>AI45+AH46</f>
        <v/>
      </c>
      <c r="AJ46" s="57">
        <f>IF(AH46&gt;0,$A46,9999)</f>
        <v/>
      </c>
      <c r="AK46" s="57">
        <f>IF(AI46&gt;0,$A46,9999)</f>
        <v/>
      </c>
      <c r="AL46" s="55">
        <f>IF($A46-$D$11&lt;Premissas!$B$31,0,$C$11*(Premissas!$B$28+(Premissas!$B$29-Premissas!$B$28)*$A46/36)/(1+EXP(-Premissas!$B$33*($A46-$D$11-Premissas!$B$32))))</f>
        <v/>
      </c>
      <c r="AM46" s="56">
        <f>(AL46*$B$11+IF($A46&gt;=Premissas!$B$38+$D$11,$F$11,0))*(1-$E$11)*(1-Premissas!$B$53)</f>
        <v/>
      </c>
      <c r="AN46" s="56">
        <f>-(AL46*Premissas!$B$19+MAX(0,AL46-AL45)*Premissas!$B$24+IF($A46-$D$11&lt;=2,Premissas!$B$41,IF($A46-$D$11&lt;=5,Premissas!$B$42,IF($A46-$D$11&lt;=8,Premissas!$B$43,$G$11)))+IF($A46=1+$D$11,Premissas!$B$47,IF($A46=3+$D$11,Premissas!$B$48,IF($A46=6+$D$11,Premissas!$B$49,0))))</f>
        <v/>
      </c>
      <c r="AO46" s="56">
        <f>AM46+AN46</f>
        <v/>
      </c>
      <c r="AP46" s="56">
        <f>AP45+AO46</f>
        <v/>
      </c>
      <c r="AQ46" s="57">
        <f>IF(AO46&gt;0,$A46,9999)</f>
        <v/>
      </c>
      <c r="AR46" s="57">
        <f>IF(AP46&gt;0,$A46,9999)</f>
        <v/>
      </c>
      <c r="AS46" s="55">
        <f>IF($A46-$D$12&lt;Premissas!$B$31,0,$C$12*(Premissas!$B$28+(Premissas!$B$29-Premissas!$B$28)*$A46/36)/(1+EXP(-Premissas!$B$33*($A46-$D$12-Premissas!$B$32))))</f>
        <v/>
      </c>
      <c r="AT46" s="56">
        <f>(AS46*$B$12+IF($A46&gt;=Premissas!$B$38+$D$12,$F$12,0))*(1-$E$12)*(1-Premissas!$B$53)</f>
        <v/>
      </c>
      <c r="AU46" s="56">
        <f>-(AS46*Premissas!$B$19+MAX(0,AS46-AS45)*Premissas!$B$24+IF($A46-$D$12&lt;=2,Premissas!$B$41,IF($A46-$D$12&lt;=5,Premissas!$B$42,IF($A46-$D$12&lt;=8,Premissas!$B$43,$G$12)))+IF($A46=1+$D$12,Premissas!$B$47,IF($A46=3+$D$12,Premissas!$B$48,IF($A46=6+$D$12,Premissas!$B$49,0))))</f>
        <v/>
      </c>
      <c r="AV46" s="56">
        <f>AT46+AU46</f>
        <v/>
      </c>
      <c r="AW46" s="56">
        <f>AW45+AV46</f>
        <v/>
      </c>
      <c r="AX46" s="57">
        <f>IF(AV46&gt;0,$A46,9999)</f>
        <v/>
      </c>
      <c r="AY46" s="57">
        <f>IF(AW46&gt;0,$A46,9999)</f>
        <v/>
      </c>
      <c r="AZ46" s="55">
        <f>IF($A46-$D$13&lt;Premissas!$B$31,0,$C$13*(Premissas!$B$28+(Premissas!$B$29-Premissas!$B$28)*$A46/36)/(1+EXP(-Premissas!$B$33*($A46-$D$13-Premissas!$B$32))))</f>
        <v/>
      </c>
      <c r="BA46" s="56">
        <f>(AZ46*$B$13+IF($A46&gt;=Premissas!$B$38+$D$13,$F$13,0))*(1-$E$13)*(1-Premissas!$B$53)</f>
        <v/>
      </c>
      <c r="BB46" s="56">
        <f>-(AZ46*Premissas!$B$19+MAX(0,AZ46-AZ45)*Premissas!$B$24+IF($A46-$D$13&lt;=2,Premissas!$B$41,IF($A46-$D$13&lt;=5,Premissas!$B$42,IF($A46-$D$13&lt;=8,Premissas!$B$43,$G$13)))+IF($A46=1+$D$13,Premissas!$B$47,IF($A46=3+$D$13,Premissas!$B$48,IF($A46=6+$D$13,Premissas!$B$49,0))))</f>
        <v/>
      </c>
      <c r="BC46" s="56">
        <f>BA46+BB46</f>
        <v/>
      </c>
      <c r="BD46" s="56">
        <f>BD45+BC46</f>
        <v/>
      </c>
      <c r="BE46" s="57">
        <f>IF(BC46&gt;0,$A46,9999)</f>
        <v/>
      </c>
      <c r="BF46" s="57">
        <f>IF(BD46&gt;0,$A46,9999)</f>
        <v/>
      </c>
      <c r="BG46" s="55">
        <f>IF($A46-$D$14&lt;Premissas!$B$31,0,$C$14*(Premissas!$B$28+(Premissas!$B$29-Premissas!$B$28)*$A46/36)/(1+EXP(-Premissas!$B$33*($A46-$D$14-Premissas!$B$32))))</f>
        <v/>
      </c>
      <c r="BH46" s="56">
        <f>(BG46*$B$14+IF($A46&gt;=Premissas!$B$38+$D$14,$F$14,0))*(1-$E$14)*(1-Premissas!$B$53)</f>
        <v/>
      </c>
      <c r="BI46" s="56">
        <f>-(BG46*Premissas!$B$19+MAX(0,BG46-BG45)*Premissas!$B$24+IF($A46-$D$14&lt;=2,Premissas!$B$41,IF($A46-$D$14&lt;=5,Premissas!$B$42,IF($A46-$D$14&lt;=8,Premissas!$B$43,$G$14)))+IF($A46=1+$D$14,Premissas!$B$47,IF($A46=3+$D$14,Premissas!$B$48,IF($A46=6+$D$14,Premissas!$B$49,0))))</f>
        <v/>
      </c>
      <c r="BJ46" s="56">
        <f>BH46+BI46</f>
        <v/>
      </c>
      <c r="BK46" s="56">
        <f>BK45+BJ46</f>
        <v/>
      </c>
      <c r="BL46" s="57">
        <f>IF(BJ46&gt;0,$A46,9999)</f>
        <v/>
      </c>
      <c r="BM46" s="57">
        <f>IF(BK46&gt;0,$A46,9999)</f>
        <v/>
      </c>
      <c r="BN46" s="55">
        <f>IF($A46-$D$15&lt;Premissas!$B$31,0,$C$15*(Premissas!$B$28+(Premissas!$B$29-Premissas!$B$28)*$A46/36)/(1+EXP(-Premissas!$B$33*($A46-$D$15-Premissas!$B$32))))</f>
        <v/>
      </c>
      <c r="BO46" s="56">
        <f>(BN46*$B$15+IF($A46&gt;=Premissas!$B$38+$D$15,$F$15,0))*(1-$E$15)*(1-Premissas!$B$53)</f>
        <v/>
      </c>
      <c r="BP46" s="56">
        <f>-(BN46*Premissas!$B$19+MAX(0,BN46-BN45)*Premissas!$B$24+IF($A46-$D$15&lt;=2,Premissas!$B$41,IF($A46-$D$15&lt;=5,Premissas!$B$42,IF($A46-$D$15&lt;=8,Premissas!$B$43,$G$15)))+IF($A46=1+$D$15,Premissas!$B$47,IF($A46=3+$D$15,Premissas!$B$48,IF($A46=6+$D$15,Premissas!$B$49,0))))</f>
        <v/>
      </c>
      <c r="BQ46" s="56">
        <f>BO46+BP46</f>
        <v/>
      </c>
      <c r="BR46" s="56">
        <f>BR45+BQ46</f>
        <v/>
      </c>
      <c r="BS46" s="57">
        <f>IF(BQ46&gt;0,$A46,9999)</f>
        <v/>
      </c>
      <c r="BT46" s="57">
        <f>IF(BR46&gt;0,$A46,9999)</f>
        <v/>
      </c>
    </row>
    <row r="47">
      <c r="A47" s="12" t="n">
        <v>12</v>
      </c>
      <c r="C47" s="55">
        <f>IF($A47-$D$6&lt;Premissas!$B$31,0,$C$6*(Premissas!$B$28+(Premissas!$B$29-Premissas!$B$28)*$A47/36)/(1+EXP(-Premissas!$B$33*($A47-$D$6-Premissas!$B$32))))</f>
        <v/>
      </c>
      <c r="D47" s="56">
        <f>(C47*$B$6+IF($A47&gt;=Premissas!$B$38+$D$6,$F$6,0))*(1-$E$6)*(1-Premissas!$B$53)</f>
        <v/>
      </c>
      <c r="E47" s="56">
        <f>-(C47*Premissas!$B$19+MAX(0,C47-C46)*Premissas!$B$24+IF($A47-$D$6&lt;=2,Premissas!$B$41,IF($A47-$D$6&lt;=5,Premissas!$B$42,IF($A47-$D$6&lt;=8,Premissas!$B$43,$G$6)))+IF($A47=1+$D$6,Premissas!$B$47,IF($A47=3+$D$6,Premissas!$B$48,IF($A47=6+$D$6,Premissas!$B$49,0))))</f>
        <v/>
      </c>
      <c r="F47" s="56">
        <f>D47+E47</f>
        <v/>
      </c>
      <c r="G47" s="56">
        <f>G46+F47</f>
        <v/>
      </c>
      <c r="H47" s="57">
        <f>IF(F47&gt;0,$A47,9999)</f>
        <v/>
      </c>
      <c r="I47" s="57">
        <f>IF(G47&gt;0,$A47,9999)</f>
        <v/>
      </c>
      <c r="J47" s="55">
        <f>IF($A47-$D$7&lt;Premissas!$B$31,0,$C$7*(Premissas!$B$28+(Premissas!$B$29-Premissas!$B$28)*$A47/36)/(1+EXP(-Premissas!$B$33*($A47-$D$7-Premissas!$B$32))))</f>
        <v/>
      </c>
      <c r="K47" s="56">
        <f>(J47*$B$7+IF($A47&gt;=Premissas!$B$38+$D$7,$F$7,0))*(1-$E$7)*(1-Premissas!$B$53)</f>
        <v/>
      </c>
      <c r="L47" s="56">
        <f>-(J47*Premissas!$B$19+MAX(0,J47-J46)*Premissas!$B$24+IF($A47-$D$7&lt;=2,Premissas!$B$41,IF($A47-$D$7&lt;=5,Premissas!$B$42,IF($A47-$D$7&lt;=8,Premissas!$B$43,$G$7)))+IF($A47=1+$D$7,Premissas!$B$47,IF($A47=3+$D$7,Premissas!$B$48,IF($A47=6+$D$7,Premissas!$B$49,0))))</f>
        <v/>
      </c>
      <c r="M47" s="56">
        <f>K47+L47</f>
        <v/>
      </c>
      <c r="N47" s="56">
        <f>N46+M47</f>
        <v/>
      </c>
      <c r="O47" s="57">
        <f>IF(M47&gt;0,$A47,9999)</f>
        <v/>
      </c>
      <c r="P47" s="57">
        <f>IF(N47&gt;0,$A47,9999)</f>
        <v/>
      </c>
      <c r="Q47" s="55">
        <f>IF($A47-$D$8&lt;Premissas!$B$31,0,$C$8*(Premissas!$B$28+(Premissas!$B$29-Premissas!$B$28)*$A47/36)/(1+EXP(-Premissas!$B$33*($A47-$D$8-Premissas!$B$32))))</f>
        <v/>
      </c>
      <c r="R47" s="56">
        <f>(Q47*$B$8+IF($A47&gt;=Premissas!$B$38+$D$8,$F$8,0))*(1-$E$8)*(1-Premissas!$B$53)</f>
        <v/>
      </c>
      <c r="S47" s="56">
        <f>-(Q47*Premissas!$B$19+MAX(0,Q47-Q46)*Premissas!$B$24+IF($A47-$D$8&lt;=2,Premissas!$B$41,IF($A47-$D$8&lt;=5,Premissas!$B$42,IF($A47-$D$8&lt;=8,Premissas!$B$43,$G$8)))+IF($A47=1+$D$8,Premissas!$B$47,IF($A47=3+$D$8,Premissas!$B$48,IF($A47=6+$D$8,Premissas!$B$49,0))))</f>
        <v/>
      </c>
      <c r="T47" s="56">
        <f>R47+S47</f>
        <v/>
      </c>
      <c r="U47" s="56">
        <f>U46+T47</f>
        <v/>
      </c>
      <c r="V47" s="57">
        <f>IF(T47&gt;0,$A47,9999)</f>
        <v/>
      </c>
      <c r="W47" s="57">
        <f>IF(U47&gt;0,$A47,9999)</f>
        <v/>
      </c>
      <c r="X47" s="55">
        <f>IF($A47-$D$9&lt;Premissas!$B$31,0,$C$9*(Premissas!$B$28+(Premissas!$B$29-Premissas!$B$28)*$A47/36)/(1+EXP(-Premissas!$B$33*($A47-$D$9-Premissas!$B$32))))</f>
        <v/>
      </c>
      <c r="Y47" s="56">
        <f>(X47*$B$9+IF($A47&gt;=Premissas!$B$38+$D$9,$F$9,0))*(1-$E$9)*(1-Premissas!$B$53)</f>
        <v/>
      </c>
      <c r="Z47" s="56">
        <f>-(X47*Premissas!$B$19+MAX(0,X47-X46)*Premissas!$B$24+IF($A47-$D$9&lt;=2,Premissas!$B$41,IF($A47-$D$9&lt;=5,Premissas!$B$42,IF($A47-$D$9&lt;=8,Premissas!$B$43,$G$9)))+IF($A47=1+$D$9,Premissas!$B$47,IF($A47=3+$D$9,Premissas!$B$48,IF($A47=6+$D$9,Premissas!$B$49,0))))</f>
        <v/>
      </c>
      <c r="AA47" s="56">
        <f>Y47+Z47</f>
        <v/>
      </c>
      <c r="AB47" s="56">
        <f>AB46+AA47</f>
        <v/>
      </c>
      <c r="AC47" s="57">
        <f>IF(AA47&gt;0,$A47,9999)</f>
        <v/>
      </c>
      <c r="AD47" s="57">
        <f>IF(AB47&gt;0,$A47,9999)</f>
        <v/>
      </c>
      <c r="AE47" s="55">
        <f>IF($A47-$D$10&lt;Premissas!$B$31,0,$C$10*(Premissas!$B$28+(Premissas!$B$29-Premissas!$B$28)*$A47/36)/(1+EXP(-Premissas!$B$33*($A47-$D$10-Premissas!$B$32))))</f>
        <v/>
      </c>
      <c r="AF47" s="56">
        <f>(AE47*$B$10+IF($A47&gt;=Premissas!$B$38+$D$10,$F$10,0))*(1-$E$10)*(1-Premissas!$B$53)</f>
        <v/>
      </c>
      <c r="AG47" s="56">
        <f>-(AE47*Premissas!$B$19+MAX(0,AE47-AE46)*Premissas!$B$24+IF($A47-$D$10&lt;=2,Premissas!$B$41,IF($A47-$D$10&lt;=5,Premissas!$B$42,IF($A47-$D$10&lt;=8,Premissas!$B$43,$G$10)))+IF($A47=1+$D$10,Premissas!$B$47,IF($A47=3+$D$10,Premissas!$B$48,IF($A47=6+$D$10,Premissas!$B$49,0))))</f>
        <v/>
      </c>
      <c r="AH47" s="56">
        <f>AF47+AG47</f>
        <v/>
      </c>
      <c r="AI47" s="56">
        <f>AI46+AH47</f>
        <v/>
      </c>
      <c r="AJ47" s="57">
        <f>IF(AH47&gt;0,$A47,9999)</f>
        <v/>
      </c>
      <c r="AK47" s="57">
        <f>IF(AI47&gt;0,$A47,9999)</f>
        <v/>
      </c>
      <c r="AL47" s="55">
        <f>IF($A47-$D$11&lt;Premissas!$B$31,0,$C$11*(Premissas!$B$28+(Premissas!$B$29-Premissas!$B$28)*$A47/36)/(1+EXP(-Premissas!$B$33*($A47-$D$11-Premissas!$B$32))))</f>
        <v/>
      </c>
      <c r="AM47" s="56">
        <f>(AL47*$B$11+IF($A47&gt;=Premissas!$B$38+$D$11,$F$11,0))*(1-$E$11)*(1-Premissas!$B$53)</f>
        <v/>
      </c>
      <c r="AN47" s="56">
        <f>-(AL47*Premissas!$B$19+MAX(0,AL47-AL46)*Premissas!$B$24+IF($A47-$D$11&lt;=2,Premissas!$B$41,IF($A47-$D$11&lt;=5,Premissas!$B$42,IF($A47-$D$11&lt;=8,Premissas!$B$43,$G$11)))+IF($A47=1+$D$11,Premissas!$B$47,IF($A47=3+$D$11,Premissas!$B$48,IF($A47=6+$D$11,Premissas!$B$49,0))))</f>
        <v/>
      </c>
      <c r="AO47" s="56">
        <f>AM47+AN47</f>
        <v/>
      </c>
      <c r="AP47" s="56">
        <f>AP46+AO47</f>
        <v/>
      </c>
      <c r="AQ47" s="57">
        <f>IF(AO47&gt;0,$A47,9999)</f>
        <v/>
      </c>
      <c r="AR47" s="57">
        <f>IF(AP47&gt;0,$A47,9999)</f>
        <v/>
      </c>
      <c r="AS47" s="55">
        <f>IF($A47-$D$12&lt;Premissas!$B$31,0,$C$12*(Premissas!$B$28+(Premissas!$B$29-Premissas!$B$28)*$A47/36)/(1+EXP(-Premissas!$B$33*($A47-$D$12-Premissas!$B$32))))</f>
        <v/>
      </c>
      <c r="AT47" s="56">
        <f>(AS47*$B$12+IF($A47&gt;=Premissas!$B$38+$D$12,$F$12,0))*(1-$E$12)*(1-Premissas!$B$53)</f>
        <v/>
      </c>
      <c r="AU47" s="56">
        <f>-(AS47*Premissas!$B$19+MAX(0,AS47-AS46)*Premissas!$B$24+IF($A47-$D$12&lt;=2,Premissas!$B$41,IF($A47-$D$12&lt;=5,Premissas!$B$42,IF($A47-$D$12&lt;=8,Premissas!$B$43,$G$12)))+IF($A47=1+$D$12,Premissas!$B$47,IF($A47=3+$D$12,Premissas!$B$48,IF($A47=6+$D$12,Premissas!$B$49,0))))</f>
        <v/>
      </c>
      <c r="AV47" s="56">
        <f>AT47+AU47</f>
        <v/>
      </c>
      <c r="AW47" s="56">
        <f>AW46+AV47</f>
        <v/>
      </c>
      <c r="AX47" s="57">
        <f>IF(AV47&gt;0,$A47,9999)</f>
        <v/>
      </c>
      <c r="AY47" s="57">
        <f>IF(AW47&gt;0,$A47,9999)</f>
        <v/>
      </c>
      <c r="AZ47" s="55">
        <f>IF($A47-$D$13&lt;Premissas!$B$31,0,$C$13*(Premissas!$B$28+(Premissas!$B$29-Premissas!$B$28)*$A47/36)/(1+EXP(-Premissas!$B$33*($A47-$D$13-Premissas!$B$32))))</f>
        <v/>
      </c>
      <c r="BA47" s="56">
        <f>(AZ47*$B$13+IF($A47&gt;=Premissas!$B$38+$D$13,$F$13,0))*(1-$E$13)*(1-Premissas!$B$53)</f>
        <v/>
      </c>
      <c r="BB47" s="56">
        <f>-(AZ47*Premissas!$B$19+MAX(0,AZ47-AZ46)*Premissas!$B$24+IF($A47-$D$13&lt;=2,Premissas!$B$41,IF($A47-$D$13&lt;=5,Premissas!$B$42,IF($A47-$D$13&lt;=8,Premissas!$B$43,$G$13)))+IF($A47=1+$D$13,Premissas!$B$47,IF($A47=3+$D$13,Premissas!$B$48,IF($A47=6+$D$13,Premissas!$B$49,0))))</f>
        <v/>
      </c>
      <c r="BC47" s="56">
        <f>BA47+BB47</f>
        <v/>
      </c>
      <c r="BD47" s="56">
        <f>BD46+BC47</f>
        <v/>
      </c>
      <c r="BE47" s="57">
        <f>IF(BC47&gt;0,$A47,9999)</f>
        <v/>
      </c>
      <c r="BF47" s="57">
        <f>IF(BD47&gt;0,$A47,9999)</f>
        <v/>
      </c>
      <c r="BG47" s="55">
        <f>IF($A47-$D$14&lt;Premissas!$B$31,0,$C$14*(Premissas!$B$28+(Premissas!$B$29-Premissas!$B$28)*$A47/36)/(1+EXP(-Premissas!$B$33*($A47-$D$14-Premissas!$B$32))))</f>
        <v/>
      </c>
      <c r="BH47" s="56">
        <f>(BG47*$B$14+IF($A47&gt;=Premissas!$B$38+$D$14,$F$14,0))*(1-$E$14)*(1-Premissas!$B$53)</f>
        <v/>
      </c>
      <c r="BI47" s="56">
        <f>-(BG47*Premissas!$B$19+MAX(0,BG47-BG46)*Premissas!$B$24+IF($A47-$D$14&lt;=2,Premissas!$B$41,IF($A47-$D$14&lt;=5,Premissas!$B$42,IF($A47-$D$14&lt;=8,Premissas!$B$43,$G$14)))+IF($A47=1+$D$14,Premissas!$B$47,IF($A47=3+$D$14,Premissas!$B$48,IF($A47=6+$D$14,Premissas!$B$49,0))))</f>
        <v/>
      </c>
      <c r="BJ47" s="56">
        <f>BH47+BI47</f>
        <v/>
      </c>
      <c r="BK47" s="56">
        <f>BK46+BJ47</f>
        <v/>
      </c>
      <c r="BL47" s="57">
        <f>IF(BJ47&gt;0,$A47,9999)</f>
        <v/>
      </c>
      <c r="BM47" s="57">
        <f>IF(BK47&gt;0,$A47,9999)</f>
        <v/>
      </c>
      <c r="BN47" s="55">
        <f>IF($A47-$D$15&lt;Premissas!$B$31,0,$C$15*(Premissas!$B$28+(Premissas!$B$29-Premissas!$B$28)*$A47/36)/(1+EXP(-Premissas!$B$33*($A47-$D$15-Premissas!$B$32))))</f>
        <v/>
      </c>
      <c r="BO47" s="56">
        <f>(BN47*$B$15+IF($A47&gt;=Premissas!$B$38+$D$15,$F$15,0))*(1-$E$15)*(1-Premissas!$B$53)</f>
        <v/>
      </c>
      <c r="BP47" s="56">
        <f>-(BN47*Premissas!$B$19+MAX(0,BN47-BN46)*Premissas!$B$24+IF($A47-$D$15&lt;=2,Premissas!$B$41,IF($A47-$D$15&lt;=5,Premissas!$B$42,IF($A47-$D$15&lt;=8,Premissas!$B$43,$G$15)))+IF($A47=1+$D$15,Premissas!$B$47,IF($A47=3+$D$15,Premissas!$B$48,IF($A47=6+$D$15,Premissas!$B$49,0))))</f>
        <v/>
      </c>
      <c r="BQ47" s="56">
        <f>BO47+BP47</f>
        <v/>
      </c>
      <c r="BR47" s="56">
        <f>BR46+BQ47</f>
        <v/>
      </c>
      <c r="BS47" s="57">
        <f>IF(BQ47&gt;0,$A47,9999)</f>
        <v/>
      </c>
      <c r="BT47" s="57">
        <f>IF(BR47&gt;0,$A47,9999)</f>
        <v/>
      </c>
    </row>
    <row r="48">
      <c r="A48" s="12" t="n">
        <v>13</v>
      </c>
      <c r="C48" s="55">
        <f>IF($A48-$D$6&lt;Premissas!$B$31,0,$C$6*(Premissas!$B$28+(Premissas!$B$29-Premissas!$B$28)*$A48/36)/(1+EXP(-Premissas!$B$33*($A48-$D$6-Premissas!$B$32))))</f>
        <v/>
      </c>
      <c r="D48" s="56">
        <f>(C48*$B$6+IF($A48&gt;=Premissas!$B$38+$D$6,$F$6,0))*(1-$E$6)*(1-Premissas!$B$53)</f>
        <v/>
      </c>
      <c r="E48" s="56">
        <f>-(C48*Premissas!$B$19+MAX(0,C48-C47)*Premissas!$B$24+IF($A48-$D$6&lt;=2,Premissas!$B$41,IF($A48-$D$6&lt;=5,Premissas!$B$42,IF($A48-$D$6&lt;=8,Premissas!$B$43,$G$6)))+IF($A48=1+$D$6,Premissas!$B$47,IF($A48=3+$D$6,Premissas!$B$48,IF($A48=6+$D$6,Premissas!$B$49,0))))</f>
        <v/>
      </c>
      <c r="F48" s="56">
        <f>D48+E48</f>
        <v/>
      </c>
      <c r="G48" s="56">
        <f>G47+F48</f>
        <v/>
      </c>
      <c r="H48" s="57">
        <f>IF(F48&gt;0,$A48,9999)</f>
        <v/>
      </c>
      <c r="I48" s="57">
        <f>IF(G48&gt;0,$A48,9999)</f>
        <v/>
      </c>
      <c r="J48" s="55">
        <f>IF($A48-$D$7&lt;Premissas!$B$31,0,$C$7*(Premissas!$B$28+(Premissas!$B$29-Premissas!$B$28)*$A48/36)/(1+EXP(-Premissas!$B$33*($A48-$D$7-Premissas!$B$32))))</f>
        <v/>
      </c>
      <c r="K48" s="56">
        <f>(J48*$B$7+IF($A48&gt;=Premissas!$B$38+$D$7,$F$7,0))*(1-$E$7)*(1-Premissas!$B$53)</f>
        <v/>
      </c>
      <c r="L48" s="56">
        <f>-(J48*Premissas!$B$19+MAX(0,J48-J47)*Premissas!$B$24+IF($A48-$D$7&lt;=2,Premissas!$B$41,IF($A48-$D$7&lt;=5,Premissas!$B$42,IF($A48-$D$7&lt;=8,Premissas!$B$43,$G$7)))+IF($A48=1+$D$7,Premissas!$B$47,IF($A48=3+$D$7,Premissas!$B$48,IF($A48=6+$D$7,Premissas!$B$49,0))))</f>
        <v/>
      </c>
      <c r="M48" s="56">
        <f>K48+L48</f>
        <v/>
      </c>
      <c r="N48" s="56">
        <f>N47+M48</f>
        <v/>
      </c>
      <c r="O48" s="57">
        <f>IF(M48&gt;0,$A48,9999)</f>
        <v/>
      </c>
      <c r="P48" s="57">
        <f>IF(N48&gt;0,$A48,9999)</f>
        <v/>
      </c>
      <c r="Q48" s="55">
        <f>IF($A48-$D$8&lt;Premissas!$B$31,0,$C$8*(Premissas!$B$28+(Premissas!$B$29-Premissas!$B$28)*$A48/36)/(1+EXP(-Premissas!$B$33*($A48-$D$8-Premissas!$B$32))))</f>
        <v/>
      </c>
      <c r="R48" s="56">
        <f>(Q48*$B$8+IF($A48&gt;=Premissas!$B$38+$D$8,$F$8,0))*(1-$E$8)*(1-Premissas!$B$53)</f>
        <v/>
      </c>
      <c r="S48" s="56">
        <f>-(Q48*Premissas!$B$19+MAX(0,Q48-Q47)*Premissas!$B$24+IF($A48-$D$8&lt;=2,Premissas!$B$41,IF($A48-$D$8&lt;=5,Premissas!$B$42,IF($A48-$D$8&lt;=8,Premissas!$B$43,$G$8)))+IF($A48=1+$D$8,Premissas!$B$47,IF($A48=3+$D$8,Premissas!$B$48,IF($A48=6+$D$8,Premissas!$B$49,0))))</f>
        <v/>
      </c>
      <c r="T48" s="56">
        <f>R48+S48</f>
        <v/>
      </c>
      <c r="U48" s="56">
        <f>U47+T48</f>
        <v/>
      </c>
      <c r="V48" s="57">
        <f>IF(T48&gt;0,$A48,9999)</f>
        <v/>
      </c>
      <c r="W48" s="57">
        <f>IF(U48&gt;0,$A48,9999)</f>
        <v/>
      </c>
      <c r="X48" s="55">
        <f>IF($A48-$D$9&lt;Premissas!$B$31,0,$C$9*(Premissas!$B$28+(Premissas!$B$29-Premissas!$B$28)*$A48/36)/(1+EXP(-Premissas!$B$33*($A48-$D$9-Premissas!$B$32))))</f>
        <v/>
      </c>
      <c r="Y48" s="56">
        <f>(X48*$B$9+IF($A48&gt;=Premissas!$B$38+$D$9,$F$9,0))*(1-$E$9)*(1-Premissas!$B$53)</f>
        <v/>
      </c>
      <c r="Z48" s="56">
        <f>-(X48*Premissas!$B$19+MAX(0,X48-X47)*Premissas!$B$24+IF($A48-$D$9&lt;=2,Premissas!$B$41,IF($A48-$D$9&lt;=5,Premissas!$B$42,IF($A48-$D$9&lt;=8,Premissas!$B$43,$G$9)))+IF($A48=1+$D$9,Premissas!$B$47,IF($A48=3+$D$9,Premissas!$B$48,IF($A48=6+$D$9,Premissas!$B$49,0))))</f>
        <v/>
      </c>
      <c r="AA48" s="56">
        <f>Y48+Z48</f>
        <v/>
      </c>
      <c r="AB48" s="56">
        <f>AB47+AA48</f>
        <v/>
      </c>
      <c r="AC48" s="57">
        <f>IF(AA48&gt;0,$A48,9999)</f>
        <v/>
      </c>
      <c r="AD48" s="57">
        <f>IF(AB48&gt;0,$A48,9999)</f>
        <v/>
      </c>
      <c r="AE48" s="55">
        <f>IF($A48-$D$10&lt;Premissas!$B$31,0,$C$10*(Premissas!$B$28+(Premissas!$B$29-Premissas!$B$28)*$A48/36)/(1+EXP(-Premissas!$B$33*($A48-$D$10-Premissas!$B$32))))</f>
        <v/>
      </c>
      <c r="AF48" s="56">
        <f>(AE48*$B$10+IF($A48&gt;=Premissas!$B$38+$D$10,$F$10,0))*(1-$E$10)*(1-Premissas!$B$53)</f>
        <v/>
      </c>
      <c r="AG48" s="56">
        <f>-(AE48*Premissas!$B$19+MAX(0,AE48-AE47)*Premissas!$B$24+IF($A48-$D$10&lt;=2,Premissas!$B$41,IF($A48-$D$10&lt;=5,Premissas!$B$42,IF($A48-$D$10&lt;=8,Premissas!$B$43,$G$10)))+IF($A48=1+$D$10,Premissas!$B$47,IF($A48=3+$D$10,Premissas!$B$48,IF($A48=6+$D$10,Premissas!$B$49,0))))</f>
        <v/>
      </c>
      <c r="AH48" s="56">
        <f>AF48+AG48</f>
        <v/>
      </c>
      <c r="AI48" s="56">
        <f>AI47+AH48</f>
        <v/>
      </c>
      <c r="AJ48" s="57">
        <f>IF(AH48&gt;0,$A48,9999)</f>
        <v/>
      </c>
      <c r="AK48" s="57">
        <f>IF(AI48&gt;0,$A48,9999)</f>
        <v/>
      </c>
      <c r="AL48" s="55">
        <f>IF($A48-$D$11&lt;Premissas!$B$31,0,$C$11*(Premissas!$B$28+(Premissas!$B$29-Premissas!$B$28)*$A48/36)/(1+EXP(-Premissas!$B$33*($A48-$D$11-Premissas!$B$32))))</f>
        <v/>
      </c>
      <c r="AM48" s="56">
        <f>(AL48*$B$11+IF($A48&gt;=Premissas!$B$38+$D$11,$F$11,0))*(1-$E$11)*(1-Premissas!$B$53)</f>
        <v/>
      </c>
      <c r="AN48" s="56">
        <f>-(AL48*Premissas!$B$19+MAX(0,AL48-AL47)*Premissas!$B$24+IF($A48-$D$11&lt;=2,Premissas!$B$41,IF($A48-$D$11&lt;=5,Premissas!$B$42,IF($A48-$D$11&lt;=8,Premissas!$B$43,$G$11)))+IF($A48=1+$D$11,Premissas!$B$47,IF($A48=3+$D$11,Premissas!$B$48,IF($A48=6+$D$11,Premissas!$B$49,0))))</f>
        <v/>
      </c>
      <c r="AO48" s="56">
        <f>AM48+AN48</f>
        <v/>
      </c>
      <c r="AP48" s="56">
        <f>AP47+AO48</f>
        <v/>
      </c>
      <c r="AQ48" s="57">
        <f>IF(AO48&gt;0,$A48,9999)</f>
        <v/>
      </c>
      <c r="AR48" s="57">
        <f>IF(AP48&gt;0,$A48,9999)</f>
        <v/>
      </c>
      <c r="AS48" s="55">
        <f>IF($A48-$D$12&lt;Premissas!$B$31,0,$C$12*(Premissas!$B$28+(Premissas!$B$29-Premissas!$B$28)*$A48/36)/(1+EXP(-Premissas!$B$33*($A48-$D$12-Premissas!$B$32))))</f>
        <v/>
      </c>
      <c r="AT48" s="56">
        <f>(AS48*$B$12+IF($A48&gt;=Premissas!$B$38+$D$12,$F$12,0))*(1-$E$12)*(1-Premissas!$B$53)</f>
        <v/>
      </c>
      <c r="AU48" s="56">
        <f>-(AS48*Premissas!$B$19+MAX(0,AS48-AS47)*Premissas!$B$24+IF($A48-$D$12&lt;=2,Premissas!$B$41,IF($A48-$D$12&lt;=5,Premissas!$B$42,IF($A48-$D$12&lt;=8,Premissas!$B$43,$G$12)))+IF($A48=1+$D$12,Premissas!$B$47,IF($A48=3+$D$12,Premissas!$B$48,IF($A48=6+$D$12,Premissas!$B$49,0))))</f>
        <v/>
      </c>
      <c r="AV48" s="56">
        <f>AT48+AU48</f>
        <v/>
      </c>
      <c r="AW48" s="56">
        <f>AW47+AV48</f>
        <v/>
      </c>
      <c r="AX48" s="57">
        <f>IF(AV48&gt;0,$A48,9999)</f>
        <v/>
      </c>
      <c r="AY48" s="57">
        <f>IF(AW48&gt;0,$A48,9999)</f>
        <v/>
      </c>
      <c r="AZ48" s="55">
        <f>IF($A48-$D$13&lt;Premissas!$B$31,0,$C$13*(Premissas!$B$28+(Premissas!$B$29-Premissas!$B$28)*$A48/36)/(1+EXP(-Premissas!$B$33*($A48-$D$13-Premissas!$B$32))))</f>
        <v/>
      </c>
      <c r="BA48" s="56">
        <f>(AZ48*$B$13+IF($A48&gt;=Premissas!$B$38+$D$13,$F$13,0))*(1-$E$13)*(1-Premissas!$B$53)</f>
        <v/>
      </c>
      <c r="BB48" s="56">
        <f>-(AZ48*Premissas!$B$19+MAX(0,AZ48-AZ47)*Premissas!$B$24+IF($A48-$D$13&lt;=2,Premissas!$B$41,IF($A48-$D$13&lt;=5,Premissas!$B$42,IF($A48-$D$13&lt;=8,Premissas!$B$43,$G$13)))+IF($A48=1+$D$13,Premissas!$B$47,IF($A48=3+$D$13,Premissas!$B$48,IF($A48=6+$D$13,Premissas!$B$49,0))))</f>
        <v/>
      </c>
      <c r="BC48" s="56">
        <f>BA48+BB48</f>
        <v/>
      </c>
      <c r="BD48" s="56">
        <f>BD47+BC48</f>
        <v/>
      </c>
      <c r="BE48" s="57">
        <f>IF(BC48&gt;0,$A48,9999)</f>
        <v/>
      </c>
      <c r="BF48" s="57">
        <f>IF(BD48&gt;0,$A48,9999)</f>
        <v/>
      </c>
      <c r="BG48" s="55">
        <f>IF($A48-$D$14&lt;Premissas!$B$31,0,$C$14*(Premissas!$B$28+(Premissas!$B$29-Premissas!$B$28)*$A48/36)/(1+EXP(-Premissas!$B$33*($A48-$D$14-Premissas!$B$32))))</f>
        <v/>
      </c>
      <c r="BH48" s="56">
        <f>(BG48*$B$14+IF($A48&gt;=Premissas!$B$38+$D$14,$F$14,0))*(1-$E$14)*(1-Premissas!$B$53)</f>
        <v/>
      </c>
      <c r="BI48" s="56">
        <f>-(BG48*Premissas!$B$19+MAX(0,BG48-BG47)*Premissas!$B$24+IF($A48-$D$14&lt;=2,Premissas!$B$41,IF($A48-$D$14&lt;=5,Premissas!$B$42,IF($A48-$D$14&lt;=8,Premissas!$B$43,$G$14)))+IF($A48=1+$D$14,Premissas!$B$47,IF($A48=3+$D$14,Premissas!$B$48,IF($A48=6+$D$14,Premissas!$B$49,0))))</f>
        <v/>
      </c>
      <c r="BJ48" s="56">
        <f>BH48+BI48</f>
        <v/>
      </c>
      <c r="BK48" s="56">
        <f>BK47+BJ48</f>
        <v/>
      </c>
      <c r="BL48" s="57">
        <f>IF(BJ48&gt;0,$A48,9999)</f>
        <v/>
      </c>
      <c r="BM48" s="57">
        <f>IF(BK48&gt;0,$A48,9999)</f>
        <v/>
      </c>
      <c r="BN48" s="55">
        <f>IF($A48-$D$15&lt;Premissas!$B$31,0,$C$15*(Premissas!$B$28+(Premissas!$B$29-Premissas!$B$28)*$A48/36)/(1+EXP(-Premissas!$B$33*($A48-$D$15-Premissas!$B$32))))</f>
        <v/>
      </c>
      <c r="BO48" s="56">
        <f>(BN48*$B$15+IF($A48&gt;=Premissas!$B$38+$D$15,$F$15,0))*(1-$E$15)*(1-Premissas!$B$53)</f>
        <v/>
      </c>
      <c r="BP48" s="56">
        <f>-(BN48*Premissas!$B$19+MAX(0,BN48-BN47)*Premissas!$B$24+IF($A48-$D$15&lt;=2,Premissas!$B$41,IF($A48-$D$15&lt;=5,Premissas!$B$42,IF($A48-$D$15&lt;=8,Premissas!$B$43,$G$15)))+IF($A48=1+$D$15,Premissas!$B$47,IF($A48=3+$D$15,Premissas!$B$48,IF($A48=6+$D$15,Premissas!$B$49,0))))</f>
        <v/>
      </c>
      <c r="BQ48" s="56">
        <f>BO48+BP48</f>
        <v/>
      </c>
      <c r="BR48" s="56">
        <f>BR47+BQ48</f>
        <v/>
      </c>
      <c r="BS48" s="57">
        <f>IF(BQ48&gt;0,$A48,9999)</f>
        <v/>
      </c>
      <c r="BT48" s="57">
        <f>IF(BR48&gt;0,$A48,9999)</f>
        <v/>
      </c>
    </row>
    <row r="49">
      <c r="A49" s="12" t="n">
        <v>14</v>
      </c>
      <c r="C49" s="55">
        <f>IF($A49-$D$6&lt;Premissas!$B$31,0,$C$6*(Premissas!$B$28+(Premissas!$B$29-Premissas!$B$28)*$A49/36)/(1+EXP(-Premissas!$B$33*($A49-$D$6-Premissas!$B$32))))</f>
        <v/>
      </c>
      <c r="D49" s="56">
        <f>(C49*$B$6+IF($A49&gt;=Premissas!$B$38+$D$6,$F$6,0))*(1-$E$6)*(1-Premissas!$B$53)</f>
        <v/>
      </c>
      <c r="E49" s="56">
        <f>-(C49*Premissas!$B$19+MAX(0,C49-C48)*Premissas!$B$24+IF($A49-$D$6&lt;=2,Premissas!$B$41,IF($A49-$D$6&lt;=5,Premissas!$B$42,IF($A49-$D$6&lt;=8,Premissas!$B$43,$G$6)))+IF($A49=1+$D$6,Premissas!$B$47,IF($A49=3+$D$6,Premissas!$B$48,IF($A49=6+$D$6,Premissas!$B$49,0))))</f>
        <v/>
      </c>
      <c r="F49" s="56">
        <f>D49+E49</f>
        <v/>
      </c>
      <c r="G49" s="56">
        <f>G48+F49</f>
        <v/>
      </c>
      <c r="H49" s="57">
        <f>IF(F49&gt;0,$A49,9999)</f>
        <v/>
      </c>
      <c r="I49" s="57">
        <f>IF(G49&gt;0,$A49,9999)</f>
        <v/>
      </c>
      <c r="J49" s="55">
        <f>IF($A49-$D$7&lt;Premissas!$B$31,0,$C$7*(Premissas!$B$28+(Premissas!$B$29-Premissas!$B$28)*$A49/36)/(1+EXP(-Premissas!$B$33*($A49-$D$7-Premissas!$B$32))))</f>
        <v/>
      </c>
      <c r="K49" s="56">
        <f>(J49*$B$7+IF($A49&gt;=Premissas!$B$38+$D$7,$F$7,0))*(1-$E$7)*(1-Premissas!$B$53)</f>
        <v/>
      </c>
      <c r="L49" s="56">
        <f>-(J49*Premissas!$B$19+MAX(0,J49-J48)*Premissas!$B$24+IF($A49-$D$7&lt;=2,Premissas!$B$41,IF($A49-$D$7&lt;=5,Premissas!$B$42,IF($A49-$D$7&lt;=8,Premissas!$B$43,$G$7)))+IF($A49=1+$D$7,Premissas!$B$47,IF($A49=3+$D$7,Premissas!$B$48,IF($A49=6+$D$7,Premissas!$B$49,0))))</f>
        <v/>
      </c>
      <c r="M49" s="56">
        <f>K49+L49</f>
        <v/>
      </c>
      <c r="N49" s="56">
        <f>N48+M49</f>
        <v/>
      </c>
      <c r="O49" s="57">
        <f>IF(M49&gt;0,$A49,9999)</f>
        <v/>
      </c>
      <c r="P49" s="57">
        <f>IF(N49&gt;0,$A49,9999)</f>
        <v/>
      </c>
      <c r="Q49" s="55">
        <f>IF($A49-$D$8&lt;Premissas!$B$31,0,$C$8*(Premissas!$B$28+(Premissas!$B$29-Premissas!$B$28)*$A49/36)/(1+EXP(-Premissas!$B$33*($A49-$D$8-Premissas!$B$32))))</f>
        <v/>
      </c>
      <c r="R49" s="56">
        <f>(Q49*$B$8+IF($A49&gt;=Premissas!$B$38+$D$8,$F$8,0))*(1-$E$8)*(1-Premissas!$B$53)</f>
        <v/>
      </c>
      <c r="S49" s="56">
        <f>-(Q49*Premissas!$B$19+MAX(0,Q49-Q48)*Premissas!$B$24+IF($A49-$D$8&lt;=2,Premissas!$B$41,IF($A49-$D$8&lt;=5,Premissas!$B$42,IF($A49-$D$8&lt;=8,Premissas!$B$43,$G$8)))+IF($A49=1+$D$8,Premissas!$B$47,IF($A49=3+$D$8,Premissas!$B$48,IF($A49=6+$D$8,Premissas!$B$49,0))))</f>
        <v/>
      </c>
      <c r="T49" s="56">
        <f>R49+S49</f>
        <v/>
      </c>
      <c r="U49" s="56">
        <f>U48+T49</f>
        <v/>
      </c>
      <c r="V49" s="57">
        <f>IF(T49&gt;0,$A49,9999)</f>
        <v/>
      </c>
      <c r="W49" s="57">
        <f>IF(U49&gt;0,$A49,9999)</f>
        <v/>
      </c>
      <c r="X49" s="55">
        <f>IF($A49-$D$9&lt;Premissas!$B$31,0,$C$9*(Premissas!$B$28+(Premissas!$B$29-Premissas!$B$28)*$A49/36)/(1+EXP(-Premissas!$B$33*($A49-$D$9-Premissas!$B$32))))</f>
        <v/>
      </c>
      <c r="Y49" s="56">
        <f>(X49*$B$9+IF($A49&gt;=Premissas!$B$38+$D$9,$F$9,0))*(1-$E$9)*(1-Premissas!$B$53)</f>
        <v/>
      </c>
      <c r="Z49" s="56">
        <f>-(X49*Premissas!$B$19+MAX(0,X49-X48)*Premissas!$B$24+IF($A49-$D$9&lt;=2,Premissas!$B$41,IF($A49-$D$9&lt;=5,Premissas!$B$42,IF($A49-$D$9&lt;=8,Premissas!$B$43,$G$9)))+IF($A49=1+$D$9,Premissas!$B$47,IF($A49=3+$D$9,Premissas!$B$48,IF($A49=6+$D$9,Premissas!$B$49,0))))</f>
        <v/>
      </c>
      <c r="AA49" s="56">
        <f>Y49+Z49</f>
        <v/>
      </c>
      <c r="AB49" s="56">
        <f>AB48+AA49</f>
        <v/>
      </c>
      <c r="AC49" s="57">
        <f>IF(AA49&gt;0,$A49,9999)</f>
        <v/>
      </c>
      <c r="AD49" s="57">
        <f>IF(AB49&gt;0,$A49,9999)</f>
        <v/>
      </c>
      <c r="AE49" s="55">
        <f>IF($A49-$D$10&lt;Premissas!$B$31,0,$C$10*(Premissas!$B$28+(Premissas!$B$29-Premissas!$B$28)*$A49/36)/(1+EXP(-Premissas!$B$33*($A49-$D$10-Premissas!$B$32))))</f>
        <v/>
      </c>
      <c r="AF49" s="56">
        <f>(AE49*$B$10+IF($A49&gt;=Premissas!$B$38+$D$10,$F$10,0))*(1-$E$10)*(1-Premissas!$B$53)</f>
        <v/>
      </c>
      <c r="AG49" s="56">
        <f>-(AE49*Premissas!$B$19+MAX(0,AE49-AE48)*Premissas!$B$24+IF($A49-$D$10&lt;=2,Premissas!$B$41,IF($A49-$D$10&lt;=5,Premissas!$B$42,IF($A49-$D$10&lt;=8,Premissas!$B$43,$G$10)))+IF($A49=1+$D$10,Premissas!$B$47,IF($A49=3+$D$10,Premissas!$B$48,IF($A49=6+$D$10,Premissas!$B$49,0))))</f>
        <v/>
      </c>
      <c r="AH49" s="56">
        <f>AF49+AG49</f>
        <v/>
      </c>
      <c r="AI49" s="56">
        <f>AI48+AH49</f>
        <v/>
      </c>
      <c r="AJ49" s="57">
        <f>IF(AH49&gt;0,$A49,9999)</f>
        <v/>
      </c>
      <c r="AK49" s="57">
        <f>IF(AI49&gt;0,$A49,9999)</f>
        <v/>
      </c>
      <c r="AL49" s="55">
        <f>IF($A49-$D$11&lt;Premissas!$B$31,0,$C$11*(Premissas!$B$28+(Premissas!$B$29-Premissas!$B$28)*$A49/36)/(1+EXP(-Premissas!$B$33*($A49-$D$11-Premissas!$B$32))))</f>
        <v/>
      </c>
      <c r="AM49" s="56">
        <f>(AL49*$B$11+IF($A49&gt;=Premissas!$B$38+$D$11,$F$11,0))*(1-$E$11)*(1-Premissas!$B$53)</f>
        <v/>
      </c>
      <c r="AN49" s="56">
        <f>-(AL49*Premissas!$B$19+MAX(0,AL49-AL48)*Premissas!$B$24+IF($A49-$D$11&lt;=2,Premissas!$B$41,IF($A49-$D$11&lt;=5,Premissas!$B$42,IF($A49-$D$11&lt;=8,Premissas!$B$43,$G$11)))+IF($A49=1+$D$11,Premissas!$B$47,IF($A49=3+$D$11,Premissas!$B$48,IF($A49=6+$D$11,Premissas!$B$49,0))))</f>
        <v/>
      </c>
      <c r="AO49" s="56">
        <f>AM49+AN49</f>
        <v/>
      </c>
      <c r="AP49" s="56">
        <f>AP48+AO49</f>
        <v/>
      </c>
      <c r="AQ49" s="57">
        <f>IF(AO49&gt;0,$A49,9999)</f>
        <v/>
      </c>
      <c r="AR49" s="57">
        <f>IF(AP49&gt;0,$A49,9999)</f>
        <v/>
      </c>
      <c r="AS49" s="55">
        <f>IF($A49-$D$12&lt;Premissas!$B$31,0,$C$12*(Premissas!$B$28+(Premissas!$B$29-Premissas!$B$28)*$A49/36)/(1+EXP(-Premissas!$B$33*($A49-$D$12-Premissas!$B$32))))</f>
        <v/>
      </c>
      <c r="AT49" s="56">
        <f>(AS49*$B$12+IF($A49&gt;=Premissas!$B$38+$D$12,$F$12,0))*(1-$E$12)*(1-Premissas!$B$53)</f>
        <v/>
      </c>
      <c r="AU49" s="56">
        <f>-(AS49*Premissas!$B$19+MAX(0,AS49-AS48)*Premissas!$B$24+IF($A49-$D$12&lt;=2,Premissas!$B$41,IF($A49-$D$12&lt;=5,Premissas!$B$42,IF($A49-$D$12&lt;=8,Premissas!$B$43,$G$12)))+IF($A49=1+$D$12,Premissas!$B$47,IF($A49=3+$D$12,Premissas!$B$48,IF($A49=6+$D$12,Premissas!$B$49,0))))</f>
        <v/>
      </c>
      <c r="AV49" s="56">
        <f>AT49+AU49</f>
        <v/>
      </c>
      <c r="AW49" s="56">
        <f>AW48+AV49</f>
        <v/>
      </c>
      <c r="AX49" s="57">
        <f>IF(AV49&gt;0,$A49,9999)</f>
        <v/>
      </c>
      <c r="AY49" s="57">
        <f>IF(AW49&gt;0,$A49,9999)</f>
        <v/>
      </c>
      <c r="AZ49" s="55">
        <f>IF($A49-$D$13&lt;Premissas!$B$31,0,$C$13*(Premissas!$B$28+(Premissas!$B$29-Premissas!$B$28)*$A49/36)/(1+EXP(-Premissas!$B$33*($A49-$D$13-Premissas!$B$32))))</f>
        <v/>
      </c>
      <c r="BA49" s="56">
        <f>(AZ49*$B$13+IF($A49&gt;=Premissas!$B$38+$D$13,$F$13,0))*(1-$E$13)*(1-Premissas!$B$53)</f>
        <v/>
      </c>
      <c r="BB49" s="56">
        <f>-(AZ49*Premissas!$B$19+MAX(0,AZ49-AZ48)*Premissas!$B$24+IF($A49-$D$13&lt;=2,Premissas!$B$41,IF($A49-$D$13&lt;=5,Premissas!$B$42,IF($A49-$D$13&lt;=8,Premissas!$B$43,$G$13)))+IF($A49=1+$D$13,Premissas!$B$47,IF($A49=3+$D$13,Premissas!$B$48,IF($A49=6+$D$13,Premissas!$B$49,0))))</f>
        <v/>
      </c>
      <c r="BC49" s="56">
        <f>BA49+BB49</f>
        <v/>
      </c>
      <c r="BD49" s="56">
        <f>BD48+BC49</f>
        <v/>
      </c>
      <c r="BE49" s="57">
        <f>IF(BC49&gt;0,$A49,9999)</f>
        <v/>
      </c>
      <c r="BF49" s="57">
        <f>IF(BD49&gt;0,$A49,9999)</f>
        <v/>
      </c>
      <c r="BG49" s="55">
        <f>IF($A49-$D$14&lt;Premissas!$B$31,0,$C$14*(Premissas!$B$28+(Premissas!$B$29-Premissas!$B$28)*$A49/36)/(1+EXP(-Premissas!$B$33*($A49-$D$14-Premissas!$B$32))))</f>
        <v/>
      </c>
      <c r="BH49" s="56">
        <f>(BG49*$B$14+IF($A49&gt;=Premissas!$B$38+$D$14,$F$14,0))*(1-$E$14)*(1-Premissas!$B$53)</f>
        <v/>
      </c>
      <c r="BI49" s="56">
        <f>-(BG49*Premissas!$B$19+MAX(0,BG49-BG48)*Premissas!$B$24+IF($A49-$D$14&lt;=2,Premissas!$B$41,IF($A49-$D$14&lt;=5,Premissas!$B$42,IF($A49-$D$14&lt;=8,Premissas!$B$43,$G$14)))+IF($A49=1+$D$14,Premissas!$B$47,IF($A49=3+$D$14,Premissas!$B$48,IF($A49=6+$D$14,Premissas!$B$49,0))))</f>
        <v/>
      </c>
      <c r="BJ49" s="56">
        <f>BH49+BI49</f>
        <v/>
      </c>
      <c r="BK49" s="56">
        <f>BK48+BJ49</f>
        <v/>
      </c>
      <c r="BL49" s="57">
        <f>IF(BJ49&gt;0,$A49,9999)</f>
        <v/>
      </c>
      <c r="BM49" s="57">
        <f>IF(BK49&gt;0,$A49,9999)</f>
        <v/>
      </c>
      <c r="BN49" s="55">
        <f>IF($A49-$D$15&lt;Premissas!$B$31,0,$C$15*(Premissas!$B$28+(Premissas!$B$29-Premissas!$B$28)*$A49/36)/(1+EXP(-Premissas!$B$33*($A49-$D$15-Premissas!$B$32))))</f>
        <v/>
      </c>
      <c r="BO49" s="56">
        <f>(BN49*$B$15+IF($A49&gt;=Premissas!$B$38+$D$15,$F$15,0))*(1-$E$15)*(1-Premissas!$B$53)</f>
        <v/>
      </c>
      <c r="BP49" s="56">
        <f>-(BN49*Premissas!$B$19+MAX(0,BN49-BN48)*Premissas!$B$24+IF($A49-$D$15&lt;=2,Premissas!$B$41,IF($A49-$D$15&lt;=5,Premissas!$B$42,IF($A49-$D$15&lt;=8,Premissas!$B$43,$G$15)))+IF($A49=1+$D$15,Premissas!$B$47,IF($A49=3+$D$15,Premissas!$B$48,IF($A49=6+$D$15,Premissas!$B$49,0))))</f>
        <v/>
      </c>
      <c r="BQ49" s="56">
        <f>BO49+BP49</f>
        <v/>
      </c>
      <c r="BR49" s="56">
        <f>BR48+BQ49</f>
        <v/>
      </c>
      <c r="BS49" s="57">
        <f>IF(BQ49&gt;0,$A49,9999)</f>
        <v/>
      </c>
      <c r="BT49" s="57">
        <f>IF(BR49&gt;0,$A49,9999)</f>
        <v/>
      </c>
    </row>
    <row r="50">
      <c r="A50" s="12" t="n">
        <v>15</v>
      </c>
      <c r="C50" s="55">
        <f>IF($A50-$D$6&lt;Premissas!$B$31,0,$C$6*(Premissas!$B$28+(Premissas!$B$29-Premissas!$B$28)*$A50/36)/(1+EXP(-Premissas!$B$33*($A50-$D$6-Premissas!$B$32))))</f>
        <v/>
      </c>
      <c r="D50" s="56">
        <f>(C50*$B$6+IF($A50&gt;=Premissas!$B$38+$D$6,$F$6,0))*(1-$E$6)*(1-Premissas!$B$53)</f>
        <v/>
      </c>
      <c r="E50" s="56">
        <f>-(C50*Premissas!$B$19+MAX(0,C50-C49)*Premissas!$B$24+IF($A50-$D$6&lt;=2,Premissas!$B$41,IF($A50-$D$6&lt;=5,Premissas!$B$42,IF($A50-$D$6&lt;=8,Premissas!$B$43,$G$6)))+IF($A50=1+$D$6,Premissas!$B$47,IF($A50=3+$D$6,Premissas!$B$48,IF($A50=6+$D$6,Premissas!$B$49,0))))</f>
        <v/>
      </c>
      <c r="F50" s="56">
        <f>D50+E50</f>
        <v/>
      </c>
      <c r="G50" s="56">
        <f>G49+F50</f>
        <v/>
      </c>
      <c r="H50" s="57">
        <f>IF(F50&gt;0,$A50,9999)</f>
        <v/>
      </c>
      <c r="I50" s="57">
        <f>IF(G50&gt;0,$A50,9999)</f>
        <v/>
      </c>
      <c r="J50" s="55">
        <f>IF($A50-$D$7&lt;Premissas!$B$31,0,$C$7*(Premissas!$B$28+(Premissas!$B$29-Premissas!$B$28)*$A50/36)/(1+EXP(-Premissas!$B$33*($A50-$D$7-Premissas!$B$32))))</f>
        <v/>
      </c>
      <c r="K50" s="56">
        <f>(J50*$B$7+IF($A50&gt;=Premissas!$B$38+$D$7,$F$7,0))*(1-$E$7)*(1-Premissas!$B$53)</f>
        <v/>
      </c>
      <c r="L50" s="56">
        <f>-(J50*Premissas!$B$19+MAX(0,J50-J49)*Premissas!$B$24+IF($A50-$D$7&lt;=2,Premissas!$B$41,IF($A50-$D$7&lt;=5,Premissas!$B$42,IF($A50-$D$7&lt;=8,Premissas!$B$43,$G$7)))+IF($A50=1+$D$7,Premissas!$B$47,IF($A50=3+$D$7,Premissas!$B$48,IF($A50=6+$D$7,Premissas!$B$49,0))))</f>
        <v/>
      </c>
      <c r="M50" s="56">
        <f>K50+L50</f>
        <v/>
      </c>
      <c r="N50" s="56">
        <f>N49+M50</f>
        <v/>
      </c>
      <c r="O50" s="57">
        <f>IF(M50&gt;0,$A50,9999)</f>
        <v/>
      </c>
      <c r="P50" s="57">
        <f>IF(N50&gt;0,$A50,9999)</f>
        <v/>
      </c>
      <c r="Q50" s="55">
        <f>IF($A50-$D$8&lt;Premissas!$B$31,0,$C$8*(Premissas!$B$28+(Premissas!$B$29-Premissas!$B$28)*$A50/36)/(1+EXP(-Premissas!$B$33*($A50-$D$8-Premissas!$B$32))))</f>
        <v/>
      </c>
      <c r="R50" s="56">
        <f>(Q50*$B$8+IF($A50&gt;=Premissas!$B$38+$D$8,$F$8,0))*(1-$E$8)*(1-Premissas!$B$53)</f>
        <v/>
      </c>
      <c r="S50" s="56">
        <f>-(Q50*Premissas!$B$19+MAX(0,Q50-Q49)*Premissas!$B$24+IF($A50-$D$8&lt;=2,Premissas!$B$41,IF($A50-$D$8&lt;=5,Premissas!$B$42,IF($A50-$D$8&lt;=8,Premissas!$B$43,$G$8)))+IF($A50=1+$D$8,Premissas!$B$47,IF($A50=3+$D$8,Premissas!$B$48,IF($A50=6+$D$8,Premissas!$B$49,0))))</f>
        <v/>
      </c>
      <c r="T50" s="56">
        <f>R50+S50</f>
        <v/>
      </c>
      <c r="U50" s="56">
        <f>U49+T50</f>
        <v/>
      </c>
      <c r="V50" s="57">
        <f>IF(T50&gt;0,$A50,9999)</f>
        <v/>
      </c>
      <c r="W50" s="57">
        <f>IF(U50&gt;0,$A50,9999)</f>
        <v/>
      </c>
      <c r="X50" s="55">
        <f>IF($A50-$D$9&lt;Premissas!$B$31,0,$C$9*(Premissas!$B$28+(Premissas!$B$29-Premissas!$B$28)*$A50/36)/(1+EXP(-Premissas!$B$33*($A50-$D$9-Premissas!$B$32))))</f>
        <v/>
      </c>
      <c r="Y50" s="56">
        <f>(X50*$B$9+IF($A50&gt;=Premissas!$B$38+$D$9,$F$9,0))*(1-$E$9)*(1-Premissas!$B$53)</f>
        <v/>
      </c>
      <c r="Z50" s="56">
        <f>-(X50*Premissas!$B$19+MAX(0,X50-X49)*Premissas!$B$24+IF($A50-$D$9&lt;=2,Premissas!$B$41,IF($A50-$D$9&lt;=5,Premissas!$B$42,IF($A50-$D$9&lt;=8,Premissas!$B$43,$G$9)))+IF($A50=1+$D$9,Premissas!$B$47,IF($A50=3+$D$9,Premissas!$B$48,IF($A50=6+$D$9,Premissas!$B$49,0))))</f>
        <v/>
      </c>
      <c r="AA50" s="56">
        <f>Y50+Z50</f>
        <v/>
      </c>
      <c r="AB50" s="56">
        <f>AB49+AA50</f>
        <v/>
      </c>
      <c r="AC50" s="57">
        <f>IF(AA50&gt;0,$A50,9999)</f>
        <v/>
      </c>
      <c r="AD50" s="57">
        <f>IF(AB50&gt;0,$A50,9999)</f>
        <v/>
      </c>
      <c r="AE50" s="55">
        <f>IF($A50-$D$10&lt;Premissas!$B$31,0,$C$10*(Premissas!$B$28+(Premissas!$B$29-Premissas!$B$28)*$A50/36)/(1+EXP(-Premissas!$B$33*($A50-$D$10-Premissas!$B$32))))</f>
        <v/>
      </c>
      <c r="AF50" s="56">
        <f>(AE50*$B$10+IF($A50&gt;=Premissas!$B$38+$D$10,$F$10,0))*(1-$E$10)*(1-Premissas!$B$53)</f>
        <v/>
      </c>
      <c r="AG50" s="56">
        <f>-(AE50*Premissas!$B$19+MAX(0,AE50-AE49)*Premissas!$B$24+IF($A50-$D$10&lt;=2,Premissas!$B$41,IF($A50-$D$10&lt;=5,Premissas!$B$42,IF($A50-$D$10&lt;=8,Premissas!$B$43,$G$10)))+IF($A50=1+$D$10,Premissas!$B$47,IF($A50=3+$D$10,Premissas!$B$48,IF($A50=6+$D$10,Premissas!$B$49,0))))</f>
        <v/>
      </c>
      <c r="AH50" s="56">
        <f>AF50+AG50</f>
        <v/>
      </c>
      <c r="AI50" s="56">
        <f>AI49+AH50</f>
        <v/>
      </c>
      <c r="AJ50" s="57">
        <f>IF(AH50&gt;0,$A50,9999)</f>
        <v/>
      </c>
      <c r="AK50" s="57">
        <f>IF(AI50&gt;0,$A50,9999)</f>
        <v/>
      </c>
      <c r="AL50" s="55">
        <f>IF($A50-$D$11&lt;Premissas!$B$31,0,$C$11*(Premissas!$B$28+(Premissas!$B$29-Premissas!$B$28)*$A50/36)/(1+EXP(-Premissas!$B$33*($A50-$D$11-Premissas!$B$32))))</f>
        <v/>
      </c>
      <c r="AM50" s="56">
        <f>(AL50*$B$11+IF($A50&gt;=Premissas!$B$38+$D$11,$F$11,0))*(1-$E$11)*(1-Premissas!$B$53)</f>
        <v/>
      </c>
      <c r="AN50" s="56">
        <f>-(AL50*Premissas!$B$19+MAX(0,AL50-AL49)*Premissas!$B$24+IF($A50-$D$11&lt;=2,Premissas!$B$41,IF($A50-$D$11&lt;=5,Premissas!$B$42,IF($A50-$D$11&lt;=8,Premissas!$B$43,$G$11)))+IF($A50=1+$D$11,Premissas!$B$47,IF($A50=3+$D$11,Premissas!$B$48,IF($A50=6+$D$11,Premissas!$B$49,0))))</f>
        <v/>
      </c>
      <c r="AO50" s="56">
        <f>AM50+AN50</f>
        <v/>
      </c>
      <c r="AP50" s="56">
        <f>AP49+AO50</f>
        <v/>
      </c>
      <c r="AQ50" s="57">
        <f>IF(AO50&gt;0,$A50,9999)</f>
        <v/>
      </c>
      <c r="AR50" s="57">
        <f>IF(AP50&gt;0,$A50,9999)</f>
        <v/>
      </c>
      <c r="AS50" s="55">
        <f>IF($A50-$D$12&lt;Premissas!$B$31,0,$C$12*(Premissas!$B$28+(Premissas!$B$29-Premissas!$B$28)*$A50/36)/(1+EXP(-Premissas!$B$33*($A50-$D$12-Premissas!$B$32))))</f>
        <v/>
      </c>
      <c r="AT50" s="56">
        <f>(AS50*$B$12+IF($A50&gt;=Premissas!$B$38+$D$12,$F$12,0))*(1-$E$12)*(1-Premissas!$B$53)</f>
        <v/>
      </c>
      <c r="AU50" s="56">
        <f>-(AS50*Premissas!$B$19+MAX(0,AS50-AS49)*Premissas!$B$24+IF($A50-$D$12&lt;=2,Premissas!$B$41,IF($A50-$D$12&lt;=5,Premissas!$B$42,IF($A50-$D$12&lt;=8,Premissas!$B$43,$G$12)))+IF($A50=1+$D$12,Premissas!$B$47,IF($A50=3+$D$12,Premissas!$B$48,IF($A50=6+$D$12,Premissas!$B$49,0))))</f>
        <v/>
      </c>
      <c r="AV50" s="56">
        <f>AT50+AU50</f>
        <v/>
      </c>
      <c r="AW50" s="56">
        <f>AW49+AV50</f>
        <v/>
      </c>
      <c r="AX50" s="57">
        <f>IF(AV50&gt;0,$A50,9999)</f>
        <v/>
      </c>
      <c r="AY50" s="57">
        <f>IF(AW50&gt;0,$A50,9999)</f>
        <v/>
      </c>
      <c r="AZ50" s="55">
        <f>IF($A50-$D$13&lt;Premissas!$B$31,0,$C$13*(Premissas!$B$28+(Premissas!$B$29-Premissas!$B$28)*$A50/36)/(1+EXP(-Premissas!$B$33*($A50-$D$13-Premissas!$B$32))))</f>
        <v/>
      </c>
      <c r="BA50" s="56">
        <f>(AZ50*$B$13+IF($A50&gt;=Premissas!$B$38+$D$13,$F$13,0))*(1-$E$13)*(1-Premissas!$B$53)</f>
        <v/>
      </c>
      <c r="BB50" s="56">
        <f>-(AZ50*Premissas!$B$19+MAX(0,AZ50-AZ49)*Premissas!$B$24+IF($A50-$D$13&lt;=2,Premissas!$B$41,IF($A50-$D$13&lt;=5,Premissas!$B$42,IF($A50-$D$13&lt;=8,Premissas!$B$43,$G$13)))+IF($A50=1+$D$13,Premissas!$B$47,IF($A50=3+$D$13,Premissas!$B$48,IF($A50=6+$D$13,Premissas!$B$49,0))))</f>
        <v/>
      </c>
      <c r="BC50" s="56">
        <f>BA50+BB50</f>
        <v/>
      </c>
      <c r="BD50" s="56">
        <f>BD49+BC50</f>
        <v/>
      </c>
      <c r="BE50" s="57">
        <f>IF(BC50&gt;0,$A50,9999)</f>
        <v/>
      </c>
      <c r="BF50" s="57">
        <f>IF(BD50&gt;0,$A50,9999)</f>
        <v/>
      </c>
      <c r="BG50" s="55">
        <f>IF($A50-$D$14&lt;Premissas!$B$31,0,$C$14*(Premissas!$B$28+(Premissas!$B$29-Premissas!$B$28)*$A50/36)/(1+EXP(-Premissas!$B$33*($A50-$D$14-Premissas!$B$32))))</f>
        <v/>
      </c>
      <c r="BH50" s="56">
        <f>(BG50*$B$14+IF($A50&gt;=Premissas!$B$38+$D$14,$F$14,0))*(1-$E$14)*(1-Premissas!$B$53)</f>
        <v/>
      </c>
      <c r="BI50" s="56">
        <f>-(BG50*Premissas!$B$19+MAX(0,BG50-BG49)*Premissas!$B$24+IF($A50-$D$14&lt;=2,Premissas!$B$41,IF($A50-$D$14&lt;=5,Premissas!$B$42,IF($A50-$D$14&lt;=8,Premissas!$B$43,$G$14)))+IF($A50=1+$D$14,Premissas!$B$47,IF($A50=3+$D$14,Premissas!$B$48,IF($A50=6+$D$14,Premissas!$B$49,0))))</f>
        <v/>
      </c>
      <c r="BJ50" s="56">
        <f>BH50+BI50</f>
        <v/>
      </c>
      <c r="BK50" s="56">
        <f>BK49+BJ50</f>
        <v/>
      </c>
      <c r="BL50" s="57">
        <f>IF(BJ50&gt;0,$A50,9999)</f>
        <v/>
      </c>
      <c r="BM50" s="57">
        <f>IF(BK50&gt;0,$A50,9999)</f>
        <v/>
      </c>
      <c r="BN50" s="55">
        <f>IF($A50-$D$15&lt;Premissas!$B$31,0,$C$15*(Premissas!$B$28+(Premissas!$B$29-Premissas!$B$28)*$A50/36)/(1+EXP(-Premissas!$B$33*($A50-$D$15-Premissas!$B$32))))</f>
        <v/>
      </c>
      <c r="BO50" s="56">
        <f>(BN50*$B$15+IF($A50&gt;=Premissas!$B$38+$D$15,$F$15,0))*(1-$E$15)*(1-Premissas!$B$53)</f>
        <v/>
      </c>
      <c r="BP50" s="56">
        <f>-(BN50*Premissas!$B$19+MAX(0,BN50-BN49)*Premissas!$B$24+IF($A50-$D$15&lt;=2,Premissas!$B$41,IF($A50-$D$15&lt;=5,Premissas!$B$42,IF($A50-$D$15&lt;=8,Premissas!$B$43,$G$15)))+IF($A50=1+$D$15,Premissas!$B$47,IF($A50=3+$D$15,Premissas!$B$48,IF($A50=6+$D$15,Premissas!$B$49,0))))</f>
        <v/>
      </c>
      <c r="BQ50" s="56">
        <f>BO50+BP50</f>
        <v/>
      </c>
      <c r="BR50" s="56">
        <f>BR49+BQ50</f>
        <v/>
      </c>
      <c r="BS50" s="57">
        <f>IF(BQ50&gt;0,$A50,9999)</f>
        <v/>
      </c>
      <c r="BT50" s="57">
        <f>IF(BR50&gt;0,$A50,9999)</f>
        <v/>
      </c>
    </row>
    <row r="51">
      <c r="A51" s="12" t="n">
        <v>16</v>
      </c>
      <c r="C51" s="55">
        <f>IF($A51-$D$6&lt;Premissas!$B$31,0,$C$6*(Premissas!$B$28+(Premissas!$B$29-Premissas!$B$28)*$A51/36)/(1+EXP(-Premissas!$B$33*($A51-$D$6-Premissas!$B$32))))</f>
        <v/>
      </c>
      <c r="D51" s="56">
        <f>(C51*$B$6+IF($A51&gt;=Premissas!$B$38+$D$6,$F$6,0))*(1-$E$6)*(1-Premissas!$B$53)</f>
        <v/>
      </c>
      <c r="E51" s="56">
        <f>-(C51*Premissas!$B$19+MAX(0,C51-C50)*Premissas!$B$24+IF($A51-$D$6&lt;=2,Premissas!$B$41,IF($A51-$D$6&lt;=5,Premissas!$B$42,IF($A51-$D$6&lt;=8,Premissas!$B$43,$G$6)))+IF($A51=1+$D$6,Premissas!$B$47,IF($A51=3+$D$6,Premissas!$B$48,IF($A51=6+$D$6,Premissas!$B$49,0))))</f>
        <v/>
      </c>
      <c r="F51" s="56">
        <f>D51+E51</f>
        <v/>
      </c>
      <c r="G51" s="56">
        <f>G50+F51</f>
        <v/>
      </c>
      <c r="H51" s="57">
        <f>IF(F51&gt;0,$A51,9999)</f>
        <v/>
      </c>
      <c r="I51" s="57">
        <f>IF(G51&gt;0,$A51,9999)</f>
        <v/>
      </c>
      <c r="J51" s="55">
        <f>IF($A51-$D$7&lt;Premissas!$B$31,0,$C$7*(Premissas!$B$28+(Premissas!$B$29-Premissas!$B$28)*$A51/36)/(1+EXP(-Premissas!$B$33*($A51-$D$7-Premissas!$B$32))))</f>
        <v/>
      </c>
      <c r="K51" s="56">
        <f>(J51*$B$7+IF($A51&gt;=Premissas!$B$38+$D$7,$F$7,0))*(1-$E$7)*(1-Premissas!$B$53)</f>
        <v/>
      </c>
      <c r="L51" s="56">
        <f>-(J51*Premissas!$B$19+MAX(0,J51-J50)*Premissas!$B$24+IF($A51-$D$7&lt;=2,Premissas!$B$41,IF($A51-$D$7&lt;=5,Premissas!$B$42,IF($A51-$D$7&lt;=8,Premissas!$B$43,$G$7)))+IF($A51=1+$D$7,Premissas!$B$47,IF($A51=3+$D$7,Premissas!$B$48,IF($A51=6+$D$7,Premissas!$B$49,0))))</f>
        <v/>
      </c>
      <c r="M51" s="56">
        <f>K51+L51</f>
        <v/>
      </c>
      <c r="N51" s="56">
        <f>N50+M51</f>
        <v/>
      </c>
      <c r="O51" s="57">
        <f>IF(M51&gt;0,$A51,9999)</f>
        <v/>
      </c>
      <c r="P51" s="57">
        <f>IF(N51&gt;0,$A51,9999)</f>
        <v/>
      </c>
      <c r="Q51" s="55">
        <f>IF($A51-$D$8&lt;Premissas!$B$31,0,$C$8*(Premissas!$B$28+(Premissas!$B$29-Premissas!$B$28)*$A51/36)/(1+EXP(-Premissas!$B$33*($A51-$D$8-Premissas!$B$32))))</f>
        <v/>
      </c>
      <c r="R51" s="56">
        <f>(Q51*$B$8+IF($A51&gt;=Premissas!$B$38+$D$8,$F$8,0))*(1-$E$8)*(1-Premissas!$B$53)</f>
        <v/>
      </c>
      <c r="S51" s="56">
        <f>-(Q51*Premissas!$B$19+MAX(0,Q51-Q50)*Premissas!$B$24+IF($A51-$D$8&lt;=2,Premissas!$B$41,IF($A51-$D$8&lt;=5,Premissas!$B$42,IF($A51-$D$8&lt;=8,Premissas!$B$43,$G$8)))+IF($A51=1+$D$8,Premissas!$B$47,IF($A51=3+$D$8,Premissas!$B$48,IF($A51=6+$D$8,Premissas!$B$49,0))))</f>
        <v/>
      </c>
      <c r="T51" s="56">
        <f>R51+S51</f>
        <v/>
      </c>
      <c r="U51" s="56">
        <f>U50+T51</f>
        <v/>
      </c>
      <c r="V51" s="57">
        <f>IF(T51&gt;0,$A51,9999)</f>
        <v/>
      </c>
      <c r="W51" s="57">
        <f>IF(U51&gt;0,$A51,9999)</f>
        <v/>
      </c>
      <c r="X51" s="55">
        <f>IF($A51-$D$9&lt;Premissas!$B$31,0,$C$9*(Premissas!$B$28+(Premissas!$B$29-Premissas!$B$28)*$A51/36)/(1+EXP(-Premissas!$B$33*($A51-$D$9-Premissas!$B$32))))</f>
        <v/>
      </c>
      <c r="Y51" s="56">
        <f>(X51*$B$9+IF($A51&gt;=Premissas!$B$38+$D$9,$F$9,0))*(1-$E$9)*(1-Premissas!$B$53)</f>
        <v/>
      </c>
      <c r="Z51" s="56">
        <f>-(X51*Premissas!$B$19+MAX(0,X51-X50)*Premissas!$B$24+IF($A51-$D$9&lt;=2,Premissas!$B$41,IF($A51-$D$9&lt;=5,Premissas!$B$42,IF($A51-$D$9&lt;=8,Premissas!$B$43,$G$9)))+IF($A51=1+$D$9,Premissas!$B$47,IF($A51=3+$D$9,Premissas!$B$48,IF($A51=6+$D$9,Premissas!$B$49,0))))</f>
        <v/>
      </c>
      <c r="AA51" s="56">
        <f>Y51+Z51</f>
        <v/>
      </c>
      <c r="AB51" s="56">
        <f>AB50+AA51</f>
        <v/>
      </c>
      <c r="AC51" s="57">
        <f>IF(AA51&gt;0,$A51,9999)</f>
        <v/>
      </c>
      <c r="AD51" s="57">
        <f>IF(AB51&gt;0,$A51,9999)</f>
        <v/>
      </c>
      <c r="AE51" s="55">
        <f>IF($A51-$D$10&lt;Premissas!$B$31,0,$C$10*(Premissas!$B$28+(Premissas!$B$29-Premissas!$B$28)*$A51/36)/(1+EXP(-Premissas!$B$33*($A51-$D$10-Premissas!$B$32))))</f>
        <v/>
      </c>
      <c r="AF51" s="56">
        <f>(AE51*$B$10+IF($A51&gt;=Premissas!$B$38+$D$10,$F$10,0))*(1-$E$10)*(1-Premissas!$B$53)</f>
        <v/>
      </c>
      <c r="AG51" s="56">
        <f>-(AE51*Premissas!$B$19+MAX(0,AE51-AE50)*Premissas!$B$24+IF($A51-$D$10&lt;=2,Premissas!$B$41,IF($A51-$D$10&lt;=5,Premissas!$B$42,IF($A51-$D$10&lt;=8,Premissas!$B$43,$G$10)))+IF($A51=1+$D$10,Premissas!$B$47,IF($A51=3+$D$10,Premissas!$B$48,IF($A51=6+$D$10,Premissas!$B$49,0))))</f>
        <v/>
      </c>
      <c r="AH51" s="56">
        <f>AF51+AG51</f>
        <v/>
      </c>
      <c r="AI51" s="56">
        <f>AI50+AH51</f>
        <v/>
      </c>
      <c r="AJ51" s="57">
        <f>IF(AH51&gt;0,$A51,9999)</f>
        <v/>
      </c>
      <c r="AK51" s="57">
        <f>IF(AI51&gt;0,$A51,9999)</f>
        <v/>
      </c>
      <c r="AL51" s="55">
        <f>IF($A51-$D$11&lt;Premissas!$B$31,0,$C$11*(Premissas!$B$28+(Premissas!$B$29-Premissas!$B$28)*$A51/36)/(1+EXP(-Premissas!$B$33*($A51-$D$11-Premissas!$B$32))))</f>
        <v/>
      </c>
      <c r="AM51" s="56">
        <f>(AL51*$B$11+IF($A51&gt;=Premissas!$B$38+$D$11,$F$11,0))*(1-$E$11)*(1-Premissas!$B$53)</f>
        <v/>
      </c>
      <c r="AN51" s="56">
        <f>-(AL51*Premissas!$B$19+MAX(0,AL51-AL50)*Premissas!$B$24+IF($A51-$D$11&lt;=2,Premissas!$B$41,IF($A51-$D$11&lt;=5,Premissas!$B$42,IF($A51-$D$11&lt;=8,Premissas!$B$43,$G$11)))+IF($A51=1+$D$11,Premissas!$B$47,IF($A51=3+$D$11,Premissas!$B$48,IF($A51=6+$D$11,Premissas!$B$49,0))))</f>
        <v/>
      </c>
      <c r="AO51" s="56">
        <f>AM51+AN51</f>
        <v/>
      </c>
      <c r="AP51" s="56">
        <f>AP50+AO51</f>
        <v/>
      </c>
      <c r="AQ51" s="57">
        <f>IF(AO51&gt;0,$A51,9999)</f>
        <v/>
      </c>
      <c r="AR51" s="57">
        <f>IF(AP51&gt;0,$A51,9999)</f>
        <v/>
      </c>
      <c r="AS51" s="55">
        <f>IF($A51-$D$12&lt;Premissas!$B$31,0,$C$12*(Premissas!$B$28+(Premissas!$B$29-Premissas!$B$28)*$A51/36)/(1+EXP(-Premissas!$B$33*($A51-$D$12-Premissas!$B$32))))</f>
        <v/>
      </c>
      <c r="AT51" s="56">
        <f>(AS51*$B$12+IF($A51&gt;=Premissas!$B$38+$D$12,$F$12,0))*(1-$E$12)*(1-Premissas!$B$53)</f>
        <v/>
      </c>
      <c r="AU51" s="56">
        <f>-(AS51*Premissas!$B$19+MAX(0,AS51-AS50)*Premissas!$B$24+IF($A51-$D$12&lt;=2,Premissas!$B$41,IF($A51-$D$12&lt;=5,Premissas!$B$42,IF($A51-$D$12&lt;=8,Premissas!$B$43,$G$12)))+IF($A51=1+$D$12,Premissas!$B$47,IF($A51=3+$D$12,Premissas!$B$48,IF($A51=6+$D$12,Premissas!$B$49,0))))</f>
        <v/>
      </c>
      <c r="AV51" s="56">
        <f>AT51+AU51</f>
        <v/>
      </c>
      <c r="AW51" s="56">
        <f>AW50+AV51</f>
        <v/>
      </c>
      <c r="AX51" s="57">
        <f>IF(AV51&gt;0,$A51,9999)</f>
        <v/>
      </c>
      <c r="AY51" s="57">
        <f>IF(AW51&gt;0,$A51,9999)</f>
        <v/>
      </c>
      <c r="AZ51" s="55">
        <f>IF($A51-$D$13&lt;Premissas!$B$31,0,$C$13*(Premissas!$B$28+(Premissas!$B$29-Premissas!$B$28)*$A51/36)/(1+EXP(-Premissas!$B$33*($A51-$D$13-Premissas!$B$32))))</f>
        <v/>
      </c>
      <c r="BA51" s="56">
        <f>(AZ51*$B$13+IF($A51&gt;=Premissas!$B$38+$D$13,$F$13,0))*(1-$E$13)*(1-Premissas!$B$53)</f>
        <v/>
      </c>
      <c r="BB51" s="56">
        <f>-(AZ51*Premissas!$B$19+MAX(0,AZ51-AZ50)*Premissas!$B$24+IF($A51-$D$13&lt;=2,Premissas!$B$41,IF($A51-$D$13&lt;=5,Premissas!$B$42,IF($A51-$D$13&lt;=8,Premissas!$B$43,$G$13)))+IF($A51=1+$D$13,Premissas!$B$47,IF($A51=3+$D$13,Premissas!$B$48,IF($A51=6+$D$13,Premissas!$B$49,0))))</f>
        <v/>
      </c>
      <c r="BC51" s="56">
        <f>BA51+BB51</f>
        <v/>
      </c>
      <c r="BD51" s="56">
        <f>BD50+BC51</f>
        <v/>
      </c>
      <c r="BE51" s="57">
        <f>IF(BC51&gt;0,$A51,9999)</f>
        <v/>
      </c>
      <c r="BF51" s="57">
        <f>IF(BD51&gt;0,$A51,9999)</f>
        <v/>
      </c>
      <c r="BG51" s="55">
        <f>IF($A51-$D$14&lt;Premissas!$B$31,0,$C$14*(Premissas!$B$28+(Premissas!$B$29-Premissas!$B$28)*$A51/36)/(1+EXP(-Premissas!$B$33*($A51-$D$14-Premissas!$B$32))))</f>
        <v/>
      </c>
      <c r="BH51" s="56">
        <f>(BG51*$B$14+IF($A51&gt;=Premissas!$B$38+$D$14,$F$14,0))*(1-$E$14)*(1-Premissas!$B$53)</f>
        <v/>
      </c>
      <c r="BI51" s="56">
        <f>-(BG51*Premissas!$B$19+MAX(0,BG51-BG50)*Premissas!$B$24+IF($A51-$D$14&lt;=2,Premissas!$B$41,IF($A51-$D$14&lt;=5,Premissas!$B$42,IF($A51-$D$14&lt;=8,Premissas!$B$43,$G$14)))+IF($A51=1+$D$14,Premissas!$B$47,IF($A51=3+$D$14,Premissas!$B$48,IF($A51=6+$D$14,Premissas!$B$49,0))))</f>
        <v/>
      </c>
      <c r="BJ51" s="56">
        <f>BH51+BI51</f>
        <v/>
      </c>
      <c r="BK51" s="56">
        <f>BK50+BJ51</f>
        <v/>
      </c>
      <c r="BL51" s="57">
        <f>IF(BJ51&gt;0,$A51,9999)</f>
        <v/>
      </c>
      <c r="BM51" s="57">
        <f>IF(BK51&gt;0,$A51,9999)</f>
        <v/>
      </c>
      <c r="BN51" s="55">
        <f>IF($A51-$D$15&lt;Premissas!$B$31,0,$C$15*(Premissas!$B$28+(Premissas!$B$29-Premissas!$B$28)*$A51/36)/(1+EXP(-Premissas!$B$33*($A51-$D$15-Premissas!$B$32))))</f>
        <v/>
      </c>
      <c r="BO51" s="56">
        <f>(BN51*$B$15+IF($A51&gt;=Premissas!$B$38+$D$15,$F$15,0))*(1-$E$15)*(1-Premissas!$B$53)</f>
        <v/>
      </c>
      <c r="BP51" s="56">
        <f>-(BN51*Premissas!$B$19+MAX(0,BN51-BN50)*Premissas!$B$24+IF($A51-$D$15&lt;=2,Premissas!$B$41,IF($A51-$D$15&lt;=5,Premissas!$B$42,IF($A51-$D$15&lt;=8,Premissas!$B$43,$G$15)))+IF($A51=1+$D$15,Premissas!$B$47,IF($A51=3+$D$15,Premissas!$B$48,IF($A51=6+$D$15,Premissas!$B$49,0))))</f>
        <v/>
      </c>
      <c r="BQ51" s="56">
        <f>BO51+BP51</f>
        <v/>
      </c>
      <c r="BR51" s="56">
        <f>BR50+BQ51</f>
        <v/>
      </c>
      <c r="BS51" s="57">
        <f>IF(BQ51&gt;0,$A51,9999)</f>
        <v/>
      </c>
      <c r="BT51" s="57">
        <f>IF(BR51&gt;0,$A51,9999)</f>
        <v/>
      </c>
    </row>
    <row r="52">
      <c r="A52" s="12" t="n">
        <v>17</v>
      </c>
      <c r="C52" s="55">
        <f>IF($A52-$D$6&lt;Premissas!$B$31,0,$C$6*(Premissas!$B$28+(Premissas!$B$29-Premissas!$B$28)*$A52/36)/(1+EXP(-Premissas!$B$33*($A52-$D$6-Premissas!$B$32))))</f>
        <v/>
      </c>
      <c r="D52" s="56">
        <f>(C52*$B$6+IF($A52&gt;=Premissas!$B$38+$D$6,$F$6,0))*(1-$E$6)*(1-Premissas!$B$53)</f>
        <v/>
      </c>
      <c r="E52" s="56">
        <f>-(C52*Premissas!$B$19+MAX(0,C52-C51)*Premissas!$B$24+IF($A52-$D$6&lt;=2,Premissas!$B$41,IF($A52-$D$6&lt;=5,Premissas!$B$42,IF($A52-$D$6&lt;=8,Premissas!$B$43,$G$6)))+IF($A52=1+$D$6,Premissas!$B$47,IF($A52=3+$D$6,Premissas!$B$48,IF($A52=6+$D$6,Premissas!$B$49,0))))</f>
        <v/>
      </c>
      <c r="F52" s="56">
        <f>D52+E52</f>
        <v/>
      </c>
      <c r="G52" s="56">
        <f>G51+F52</f>
        <v/>
      </c>
      <c r="H52" s="57">
        <f>IF(F52&gt;0,$A52,9999)</f>
        <v/>
      </c>
      <c r="I52" s="57">
        <f>IF(G52&gt;0,$A52,9999)</f>
        <v/>
      </c>
      <c r="J52" s="55">
        <f>IF($A52-$D$7&lt;Premissas!$B$31,0,$C$7*(Premissas!$B$28+(Premissas!$B$29-Premissas!$B$28)*$A52/36)/(1+EXP(-Premissas!$B$33*($A52-$D$7-Premissas!$B$32))))</f>
        <v/>
      </c>
      <c r="K52" s="56">
        <f>(J52*$B$7+IF($A52&gt;=Premissas!$B$38+$D$7,$F$7,0))*(1-$E$7)*(1-Premissas!$B$53)</f>
        <v/>
      </c>
      <c r="L52" s="56">
        <f>-(J52*Premissas!$B$19+MAX(0,J52-J51)*Premissas!$B$24+IF($A52-$D$7&lt;=2,Premissas!$B$41,IF($A52-$D$7&lt;=5,Premissas!$B$42,IF($A52-$D$7&lt;=8,Premissas!$B$43,$G$7)))+IF($A52=1+$D$7,Premissas!$B$47,IF($A52=3+$D$7,Premissas!$B$48,IF($A52=6+$D$7,Premissas!$B$49,0))))</f>
        <v/>
      </c>
      <c r="M52" s="56">
        <f>K52+L52</f>
        <v/>
      </c>
      <c r="N52" s="56">
        <f>N51+M52</f>
        <v/>
      </c>
      <c r="O52" s="57">
        <f>IF(M52&gt;0,$A52,9999)</f>
        <v/>
      </c>
      <c r="P52" s="57">
        <f>IF(N52&gt;0,$A52,9999)</f>
        <v/>
      </c>
      <c r="Q52" s="55">
        <f>IF($A52-$D$8&lt;Premissas!$B$31,0,$C$8*(Premissas!$B$28+(Premissas!$B$29-Premissas!$B$28)*$A52/36)/(1+EXP(-Premissas!$B$33*($A52-$D$8-Premissas!$B$32))))</f>
        <v/>
      </c>
      <c r="R52" s="56">
        <f>(Q52*$B$8+IF($A52&gt;=Premissas!$B$38+$D$8,$F$8,0))*(1-$E$8)*(1-Premissas!$B$53)</f>
        <v/>
      </c>
      <c r="S52" s="56">
        <f>-(Q52*Premissas!$B$19+MAX(0,Q52-Q51)*Premissas!$B$24+IF($A52-$D$8&lt;=2,Premissas!$B$41,IF($A52-$D$8&lt;=5,Premissas!$B$42,IF($A52-$D$8&lt;=8,Premissas!$B$43,$G$8)))+IF($A52=1+$D$8,Premissas!$B$47,IF($A52=3+$D$8,Premissas!$B$48,IF($A52=6+$D$8,Premissas!$B$49,0))))</f>
        <v/>
      </c>
      <c r="T52" s="56">
        <f>R52+S52</f>
        <v/>
      </c>
      <c r="U52" s="56">
        <f>U51+T52</f>
        <v/>
      </c>
      <c r="V52" s="57">
        <f>IF(T52&gt;0,$A52,9999)</f>
        <v/>
      </c>
      <c r="W52" s="57">
        <f>IF(U52&gt;0,$A52,9999)</f>
        <v/>
      </c>
      <c r="X52" s="55">
        <f>IF($A52-$D$9&lt;Premissas!$B$31,0,$C$9*(Premissas!$B$28+(Premissas!$B$29-Premissas!$B$28)*$A52/36)/(1+EXP(-Premissas!$B$33*($A52-$D$9-Premissas!$B$32))))</f>
        <v/>
      </c>
      <c r="Y52" s="56">
        <f>(X52*$B$9+IF($A52&gt;=Premissas!$B$38+$D$9,$F$9,0))*(1-$E$9)*(1-Premissas!$B$53)</f>
        <v/>
      </c>
      <c r="Z52" s="56">
        <f>-(X52*Premissas!$B$19+MAX(0,X52-X51)*Premissas!$B$24+IF($A52-$D$9&lt;=2,Premissas!$B$41,IF($A52-$D$9&lt;=5,Premissas!$B$42,IF($A52-$D$9&lt;=8,Premissas!$B$43,$G$9)))+IF($A52=1+$D$9,Premissas!$B$47,IF($A52=3+$D$9,Premissas!$B$48,IF($A52=6+$D$9,Premissas!$B$49,0))))</f>
        <v/>
      </c>
      <c r="AA52" s="56">
        <f>Y52+Z52</f>
        <v/>
      </c>
      <c r="AB52" s="56">
        <f>AB51+AA52</f>
        <v/>
      </c>
      <c r="AC52" s="57">
        <f>IF(AA52&gt;0,$A52,9999)</f>
        <v/>
      </c>
      <c r="AD52" s="57">
        <f>IF(AB52&gt;0,$A52,9999)</f>
        <v/>
      </c>
      <c r="AE52" s="55">
        <f>IF($A52-$D$10&lt;Premissas!$B$31,0,$C$10*(Premissas!$B$28+(Premissas!$B$29-Premissas!$B$28)*$A52/36)/(1+EXP(-Premissas!$B$33*($A52-$D$10-Premissas!$B$32))))</f>
        <v/>
      </c>
      <c r="AF52" s="56">
        <f>(AE52*$B$10+IF($A52&gt;=Premissas!$B$38+$D$10,$F$10,0))*(1-$E$10)*(1-Premissas!$B$53)</f>
        <v/>
      </c>
      <c r="AG52" s="56">
        <f>-(AE52*Premissas!$B$19+MAX(0,AE52-AE51)*Premissas!$B$24+IF($A52-$D$10&lt;=2,Premissas!$B$41,IF($A52-$D$10&lt;=5,Premissas!$B$42,IF($A52-$D$10&lt;=8,Premissas!$B$43,$G$10)))+IF($A52=1+$D$10,Premissas!$B$47,IF($A52=3+$D$10,Premissas!$B$48,IF($A52=6+$D$10,Premissas!$B$49,0))))</f>
        <v/>
      </c>
      <c r="AH52" s="56">
        <f>AF52+AG52</f>
        <v/>
      </c>
      <c r="AI52" s="56">
        <f>AI51+AH52</f>
        <v/>
      </c>
      <c r="AJ52" s="57">
        <f>IF(AH52&gt;0,$A52,9999)</f>
        <v/>
      </c>
      <c r="AK52" s="57">
        <f>IF(AI52&gt;0,$A52,9999)</f>
        <v/>
      </c>
      <c r="AL52" s="55">
        <f>IF($A52-$D$11&lt;Premissas!$B$31,0,$C$11*(Premissas!$B$28+(Premissas!$B$29-Premissas!$B$28)*$A52/36)/(1+EXP(-Premissas!$B$33*($A52-$D$11-Premissas!$B$32))))</f>
        <v/>
      </c>
      <c r="AM52" s="56">
        <f>(AL52*$B$11+IF($A52&gt;=Premissas!$B$38+$D$11,$F$11,0))*(1-$E$11)*(1-Premissas!$B$53)</f>
        <v/>
      </c>
      <c r="AN52" s="56">
        <f>-(AL52*Premissas!$B$19+MAX(0,AL52-AL51)*Premissas!$B$24+IF($A52-$D$11&lt;=2,Premissas!$B$41,IF($A52-$D$11&lt;=5,Premissas!$B$42,IF($A52-$D$11&lt;=8,Premissas!$B$43,$G$11)))+IF($A52=1+$D$11,Premissas!$B$47,IF($A52=3+$D$11,Premissas!$B$48,IF($A52=6+$D$11,Premissas!$B$49,0))))</f>
        <v/>
      </c>
      <c r="AO52" s="56">
        <f>AM52+AN52</f>
        <v/>
      </c>
      <c r="AP52" s="56">
        <f>AP51+AO52</f>
        <v/>
      </c>
      <c r="AQ52" s="57">
        <f>IF(AO52&gt;0,$A52,9999)</f>
        <v/>
      </c>
      <c r="AR52" s="57">
        <f>IF(AP52&gt;0,$A52,9999)</f>
        <v/>
      </c>
      <c r="AS52" s="55">
        <f>IF($A52-$D$12&lt;Premissas!$B$31,0,$C$12*(Premissas!$B$28+(Premissas!$B$29-Premissas!$B$28)*$A52/36)/(1+EXP(-Premissas!$B$33*($A52-$D$12-Premissas!$B$32))))</f>
        <v/>
      </c>
      <c r="AT52" s="56">
        <f>(AS52*$B$12+IF($A52&gt;=Premissas!$B$38+$D$12,$F$12,0))*(1-$E$12)*(1-Premissas!$B$53)</f>
        <v/>
      </c>
      <c r="AU52" s="56">
        <f>-(AS52*Premissas!$B$19+MAX(0,AS52-AS51)*Premissas!$B$24+IF($A52-$D$12&lt;=2,Premissas!$B$41,IF($A52-$D$12&lt;=5,Premissas!$B$42,IF($A52-$D$12&lt;=8,Premissas!$B$43,$G$12)))+IF($A52=1+$D$12,Premissas!$B$47,IF($A52=3+$D$12,Premissas!$B$48,IF($A52=6+$D$12,Premissas!$B$49,0))))</f>
        <v/>
      </c>
      <c r="AV52" s="56">
        <f>AT52+AU52</f>
        <v/>
      </c>
      <c r="AW52" s="56">
        <f>AW51+AV52</f>
        <v/>
      </c>
      <c r="AX52" s="57">
        <f>IF(AV52&gt;0,$A52,9999)</f>
        <v/>
      </c>
      <c r="AY52" s="57">
        <f>IF(AW52&gt;0,$A52,9999)</f>
        <v/>
      </c>
      <c r="AZ52" s="55">
        <f>IF($A52-$D$13&lt;Premissas!$B$31,0,$C$13*(Premissas!$B$28+(Premissas!$B$29-Premissas!$B$28)*$A52/36)/(1+EXP(-Premissas!$B$33*($A52-$D$13-Premissas!$B$32))))</f>
        <v/>
      </c>
      <c r="BA52" s="56">
        <f>(AZ52*$B$13+IF($A52&gt;=Premissas!$B$38+$D$13,$F$13,0))*(1-$E$13)*(1-Premissas!$B$53)</f>
        <v/>
      </c>
      <c r="BB52" s="56">
        <f>-(AZ52*Premissas!$B$19+MAX(0,AZ52-AZ51)*Premissas!$B$24+IF($A52-$D$13&lt;=2,Premissas!$B$41,IF($A52-$D$13&lt;=5,Premissas!$B$42,IF($A52-$D$13&lt;=8,Premissas!$B$43,$G$13)))+IF($A52=1+$D$13,Premissas!$B$47,IF($A52=3+$D$13,Premissas!$B$48,IF($A52=6+$D$13,Premissas!$B$49,0))))</f>
        <v/>
      </c>
      <c r="BC52" s="56">
        <f>BA52+BB52</f>
        <v/>
      </c>
      <c r="BD52" s="56">
        <f>BD51+BC52</f>
        <v/>
      </c>
      <c r="BE52" s="57">
        <f>IF(BC52&gt;0,$A52,9999)</f>
        <v/>
      </c>
      <c r="BF52" s="57">
        <f>IF(BD52&gt;0,$A52,9999)</f>
        <v/>
      </c>
      <c r="BG52" s="55">
        <f>IF($A52-$D$14&lt;Premissas!$B$31,0,$C$14*(Premissas!$B$28+(Premissas!$B$29-Premissas!$B$28)*$A52/36)/(1+EXP(-Premissas!$B$33*($A52-$D$14-Premissas!$B$32))))</f>
        <v/>
      </c>
      <c r="BH52" s="56">
        <f>(BG52*$B$14+IF($A52&gt;=Premissas!$B$38+$D$14,$F$14,0))*(1-$E$14)*(1-Premissas!$B$53)</f>
        <v/>
      </c>
      <c r="BI52" s="56">
        <f>-(BG52*Premissas!$B$19+MAX(0,BG52-BG51)*Premissas!$B$24+IF($A52-$D$14&lt;=2,Premissas!$B$41,IF($A52-$D$14&lt;=5,Premissas!$B$42,IF($A52-$D$14&lt;=8,Premissas!$B$43,$G$14)))+IF($A52=1+$D$14,Premissas!$B$47,IF($A52=3+$D$14,Premissas!$B$48,IF($A52=6+$D$14,Premissas!$B$49,0))))</f>
        <v/>
      </c>
      <c r="BJ52" s="56">
        <f>BH52+BI52</f>
        <v/>
      </c>
      <c r="BK52" s="56">
        <f>BK51+BJ52</f>
        <v/>
      </c>
      <c r="BL52" s="57">
        <f>IF(BJ52&gt;0,$A52,9999)</f>
        <v/>
      </c>
      <c r="BM52" s="57">
        <f>IF(BK52&gt;0,$A52,9999)</f>
        <v/>
      </c>
      <c r="BN52" s="55">
        <f>IF($A52-$D$15&lt;Premissas!$B$31,0,$C$15*(Premissas!$B$28+(Premissas!$B$29-Premissas!$B$28)*$A52/36)/(1+EXP(-Premissas!$B$33*($A52-$D$15-Premissas!$B$32))))</f>
        <v/>
      </c>
      <c r="BO52" s="56">
        <f>(BN52*$B$15+IF($A52&gt;=Premissas!$B$38+$D$15,$F$15,0))*(1-$E$15)*(1-Premissas!$B$53)</f>
        <v/>
      </c>
      <c r="BP52" s="56">
        <f>-(BN52*Premissas!$B$19+MAX(0,BN52-BN51)*Premissas!$B$24+IF($A52-$D$15&lt;=2,Premissas!$B$41,IF($A52-$D$15&lt;=5,Premissas!$B$42,IF($A52-$D$15&lt;=8,Premissas!$B$43,$G$15)))+IF($A52=1+$D$15,Premissas!$B$47,IF($A52=3+$D$15,Premissas!$B$48,IF($A52=6+$D$15,Premissas!$B$49,0))))</f>
        <v/>
      </c>
      <c r="BQ52" s="56">
        <f>BO52+BP52</f>
        <v/>
      </c>
      <c r="BR52" s="56">
        <f>BR51+BQ52</f>
        <v/>
      </c>
      <c r="BS52" s="57">
        <f>IF(BQ52&gt;0,$A52,9999)</f>
        <v/>
      </c>
      <c r="BT52" s="57">
        <f>IF(BR52&gt;0,$A52,9999)</f>
        <v/>
      </c>
    </row>
    <row r="53">
      <c r="A53" s="12" t="n">
        <v>18</v>
      </c>
      <c r="C53" s="55">
        <f>IF($A53-$D$6&lt;Premissas!$B$31,0,$C$6*(Premissas!$B$28+(Premissas!$B$29-Premissas!$B$28)*$A53/36)/(1+EXP(-Premissas!$B$33*($A53-$D$6-Premissas!$B$32))))</f>
        <v/>
      </c>
      <c r="D53" s="56">
        <f>(C53*$B$6+IF($A53&gt;=Premissas!$B$38+$D$6,$F$6,0))*(1-$E$6)*(1-Premissas!$B$53)</f>
        <v/>
      </c>
      <c r="E53" s="56">
        <f>-(C53*Premissas!$B$19+MAX(0,C53-C52)*Premissas!$B$24+IF($A53-$D$6&lt;=2,Premissas!$B$41,IF($A53-$D$6&lt;=5,Premissas!$B$42,IF($A53-$D$6&lt;=8,Premissas!$B$43,$G$6)))+IF($A53=1+$D$6,Premissas!$B$47,IF($A53=3+$D$6,Premissas!$B$48,IF($A53=6+$D$6,Premissas!$B$49,0))))</f>
        <v/>
      </c>
      <c r="F53" s="56">
        <f>D53+E53</f>
        <v/>
      </c>
      <c r="G53" s="56">
        <f>G52+F53</f>
        <v/>
      </c>
      <c r="H53" s="57">
        <f>IF(F53&gt;0,$A53,9999)</f>
        <v/>
      </c>
      <c r="I53" s="57">
        <f>IF(G53&gt;0,$A53,9999)</f>
        <v/>
      </c>
      <c r="J53" s="55">
        <f>IF($A53-$D$7&lt;Premissas!$B$31,0,$C$7*(Premissas!$B$28+(Premissas!$B$29-Premissas!$B$28)*$A53/36)/(1+EXP(-Premissas!$B$33*($A53-$D$7-Premissas!$B$32))))</f>
        <v/>
      </c>
      <c r="K53" s="56">
        <f>(J53*$B$7+IF($A53&gt;=Premissas!$B$38+$D$7,$F$7,0))*(1-$E$7)*(1-Premissas!$B$53)</f>
        <v/>
      </c>
      <c r="L53" s="56">
        <f>-(J53*Premissas!$B$19+MAX(0,J53-J52)*Premissas!$B$24+IF($A53-$D$7&lt;=2,Premissas!$B$41,IF($A53-$D$7&lt;=5,Premissas!$B$42,IF($A53-$D$7&lt;=8,Premissas!$B$43,$G$7)))+IF($A53=1+$D$7,Premissas!$B$47,IF($A53=3+$D$7,Premissas!$B$48,IF($A53=6+$D$7,Premissas!$B$49,0))))</f>
        <v/>
      </c>
      <c r="M53" s="56">
        <f>K53+L53</f>
        <v/>
      </c>
      <c r="N53" s="56">
        <f>N52+M53</f>
        <v/>
      </c>
      <c r="O53" s="57">
        <f>IF(M53&gt;0,$A53,9999)</f>
        <v/>
      </c>
      <c r="P53" s="57">
        <f>IF(N53&gt;0,$A53,9999)</f>
        <v/>
      </c>
      <c r="Q53" s="55">
        <f>IF($A53-$D$8&lt;Premissas!$B$31,0,$C$8*(Premissas!$B$28+(Premissas!$B$29-Premissas!$B$28)*$A53/36)/(1+EXP(-Premissas!$B$33*($A53-$D$8-Premissas!$B$32))))</f>
        <v/>
      </c>
      <c r="R53" s="56">
        <f>(Q53*$B$8+IF($A53&gt;=Premissas!$B$38+$D$8,$F$8,0))*(1-$E$8)*(1-Premissas!$B$53)</f>
        <v/>
      </c>
      <c r="S53" s="56">
        <f>-(Q53*Premissas!$B$19+MAX(0,Q53-Q52)*Premissas!$B$24+IF($A53-$D$8&lt;=2,Premissas!$B$41,IF($A53-$D$8&lt;=5,Premissas!$B$42,IF($A53-$D$8&lt;=8,Premissas!$B$43,$G$8)))+IF($A53=1+$D$8,Premissas!$B$47,IF($A53=3+$D$8,Premissas!$B$48,IF($A53=6+$D$8,Premissas!$B$49,0))))</f>
        <v/>
      </c>
      <c r="T53" s="56">
        <f>R53+S53</f>
        <v/>
      </c>
      <c r="U53" s="56">
        <f>U52+T53</f>
        <v/>
      </c>
      <c r="V53" s="57">
        <f>IF(T53&gt;0,$A53,9999)</f>
        <v/>
      </c>
      <c r="W53" s="57">
        <f>IF(U53&gt;0,$A53,9999)</f>
        <v/>
      </c>
      <c r="X53" s="55">
        <f>IF($A53-$D$9&lt;Premissas!$B$31,0,$C$9*(Premissas!$B$28+(Premissas!$B$29-Premissas!$B$28)*$A53/36)/(1+EXP(-Premissas!$B$33*($A53-$D$9-Premissas!$B$32))))</f>
        <v/>
      </c>
      <c r="Y53" s="56">
        <f>(X53*$B$9+IF($A53&gt;=Premissas!$B$38+$D$9,$F$9,0))*(1-$E$9)*(1-Premissas!$B$53)</f>
        <v/>
      </c>
      <c r="Z53" s="56">
        <f>-(X53*Premissas!$B$19+MAX(0,X53-X52)*Premissas!$B$24+IF($A53-$D$9&lt;=2,Premissas!$B$41,IF($A53-$D$9&lt;=5,Premissas!$B$42,IF($A53-$D$9&lt;=8,Premissas!$B$43,$G$9)))+IF($A53=1+$D$9,Premissas!$B$47,IF($A53=3+$D$9,Premissas!$B$48,IF($A53=6+$D$9,Premissas!$B$49,0))))</f>
        <v/>
      </c>
      <c r="AA53" s="56">
        <f>Y53+Z53</f>
        <v/>
      </c>
      <c r="AB53" s="56">
        <f>AB52+AA53</f>
        <v/>
      </c>
      <c r="AC53" s="57">
        <f>IF(AA53&gt;0,$A53,9999)</f>
        <v/>
      </c>
      <c r="AD53" s="57">
        <f>IF(AB53&gt;0,$A53,9999)</f>
        <v/>
      </c>
      <c r="AE53" s="55">
        <f>IF($A53-$D$10&lt;Premissas!$B$31,0,$C$10*(Premissas!$B$28+(Premissas!$B$29-Premissas!$B$28)*$A53/36)/(1+EXP(-Premissas!$B$33*($A53-$D$10-Premissas!$B$32))))</f>
        <v/>
      </c>
      <c r="AF53" s="56">
        <f>(AE53*$B$10+IF($A53&gt;=Premissas!$B$38+$D$10,$F$10,0))*(1-$E$10)*(1-Premissas!$B$53)</f>
        <v/>
      </c>
      <c r="AG53" s="56">
        <f>-(AE53*Premissas!$B$19+MAX(0,AE53-AE52)*Premissas!$B$24+IF($A53-$D$10&lt;=2,Premissas!$B$41,IF($A53-$D$10&lt;=5,Premissas!$B$42,IF($A53-$D$10&lt;=8,Premissas!$B$43,$G$10)))+IF($A53=1+$D$10,Premissas!$B$47,IF($A53=3+$D$10,Premissas!$B$48,IF($A53=6+$D$10,Premissas!$B$49,0))))</f>
        <v/>
      </c>
      <c r="AH53" s="56">
        <f>AF53+AG53</f>
        <v/>
      </c>
      <c r="AI53" s="56">
        <f>AI52+AH53</f>
        <v/>
      </c>
      <c r="AJ53" s="57">
        <f>IF(AH53&gt;0,$A53,9999)</f>
        <v/>
      </c>
      <c r="AK53" s="57">
        <f>IF(AI53&gt;0,$A53,9999)</f>
        <v/>
      </c>
      <c r="AL53" s="55">
        <f>IF($A53-$D$11&lt;Premissas!$B$31,0,$C$11*(Premissas!$B$28+(Premissas!$B$29-Premissas!$B$28)*$A53/36)/(1+EXP(-Premissas!$B$33*($A53-$D$11-Premissas!$B$32))))</f>
        <v/>
      </c>
      <c r="AM53" s="56">
        <f>(AL53*$B$11+IF($A53&gt;=Premissas!$B$38+$D$11,$F$11,0))*(1-$E$11)*(1-Premissas!$B$53)</f>
        <v/>
      </c>
      <c r="AN53" s="56">
        <f>-(AL53*Premissas!$B$19+MAX(0,AL53-AL52)*Premissas!$B$24+IF($A53-$D$11&lt;=2,Premissas!$B$41,IF($A53-$D$11&lt;=5,Premissas!$B$42,IF($A53-$D$11&lt;=8,Premissas!$B$43,$G$11)))+IF($A53=1+$D$11,Premissas!$B$47,IF($A53=3+$D$11,Premissas!$B$48,IF($A53=6+$D$11,Premissas!$B$49,0))))</f>
        <v/>
      </c>
      <c r="AO53" s="56">
        <f>AM53+AN53</f>
        <v/>
      </c>
      <c r="AP53" s="56">
        <f>AP52+AO53</f>
        <v/>
      </c>
      <c r="AQ53" s="57">
        <f>IF(AO53&gt;0,$A53,9999)</f>
        <v/>
      </c>
      <c r="AR53" s="57">
        <f>IF(AP53&gt;0,$A53,9999)</f>
        <v/>
      </c>
      <c r="AS53" s="55">
        <f>IF($A53-$D$12&lt;Premissas!$B$31,0,$C$12*(Premissas!$B$28+(Premissas!$B$29-Premissas!$B$28)*$A53/36)/(1+EXP(-Premissas!$B$33*($A53-$D$12-Premissas!$B$32))))</f>
        <v/>
      </c>
      <c r="AT53" s="56">
        <f>(AS53*$B$12+IF($A53&gt;=Premissas!$B$38+$D$12,$F$12,0))*(1-$E$12)*(1-Premissas!$B$53)</f>
        <v/>
      </c>
      <c r="AU53" s="56">
        <f>-(AS53*Premissas!$B$19+MAX(0,AS53-AS52)*Premissas!$B$24+IF($A53-$D$12&lt;=2,Premissas!$B$41,IF($A53-$D$12&lt;=5,Premissas!$B$42,IF($A53-$D$12&lt;=8,Premissas!$B$43,$G$12)))+IF($A53=1+$D$12,Premissas!$B$47,IF($A53=3+$D$12,Premissas!$B$48,IF($A53=6+$D$12,Premissas!$B$49,0))))</f>
        <v/>
      </c>
      <c r="AV53" s="56">
        <f>AT53+AU53</f>
        <v/>
      </c>
      <c r="AW53" s="56">
        <f>AW52+AV53</f>
        <v/>
      </c>
      <c r="AX53" s="57">
        <f>IF(AV53&gt;0,$A53,9999)</f>
        <v/>
      </c>
      <c r="AY53" s="57">
        <f>IF(AW53&gt;0,$A53,9999)</f>
        <v/>
      </c>
      <c r="AZ53" s="55">
        <f>IF($A53-$D$13&lt;Premissas!$B$31,0,$C$13*(Premissas!$B$28+(Premissas!$B$29-Premissas!$B$28)*$A53/36)/(1+EXP(-Premissas!$B$33*($A53-$D$13-Premissas!$B$32))))</f>
        <v/>
      </c>
      <c r="BA53" s="56">
        <f>(AZ53*$B$13+IF($A53&gt;=Premissas!$B$38+$D$13,$F$13,0))*(1-$E$13)*(1-Premissas!$B$53)</f>
        <v/>
      </c>
      <c r="BB53" s="56">
        <f>-(AZ53*Premissas!$B$19+MAX(0,AZ53-AZ52)*Premissas!$B$24+IF($A53-$D$13&lt;=2,Premissas!$B$41,IF($A53-$D$13&lt;=5,Premissas!$B$42,IF($A53-$D$13&lt;=8,Premissas!$B$43,$G$13)))+IF($A53=1+$D$13,Premissas!$B$47,IF($A53=3+$D$13,Premissas!$B$48,IF($A53=6+$D$13,Premissas!$B$49,0))))</f>
        <v/>
      </c>
      <c r="BC53" s="56">
        <f>BA53+BB53</f>
        <v/>
      </c>
      <c r="BD53" s="56">
        <f>BD52+BC53</f>
        <v/>
      </c>
      <c r="BE53" s="57">
        <f>IF(BC53&gt;0,$A53,9999)</f>
        <v/>
      </c>
      <c r="BF53" s="57">
        <f>IF(BD53&gt;0,$A53,9999)</f>
        <v/>
      </c>
      <c r="BG53" s="55">
        <f>IF($A53-$D$14&lt;Premissas!$B$31,0,$C$14*(Premissas!$B$28+(Premissas!$B$29-Premissas!$B$28)*$A53/36)/(1+EXP(-Premissas!$B$33*($A53-$D$14-Premissas!$B$32))))</f>
        <v/>
      </c>
      <c r="BH53" s="56">
        <f>(BG53*$B$14+IF($A53&gt;=Premissas!$B$38+$D$14,$F$14,0))*(1-$E$14)*(1-Premissas!$B$53)</f>
        <v/>
      </c>
      <c r="BI53" s="56">
        <f>-(BG53*Premissas!$B$19+MAX(0,BG53-BG52)*Premissas!$B$24+IF($A53-$D$14&lt;=2,Premissas!$B$41,IF($A53-$D$14&lt;=5,Premissas!$B$42,IF($A53-$D$14&lt;=8,Premissas!$B$43,$G$14)))+IF($A53=1+$D$14,Premissas!$B$47,IF($A53=3+$D$14,Premissas!$B$48,IF($A53=6+$D$14,Premissas!$B$49,0))))</f>
        <v/>
      </c>
      <c r="BJ53" s="56">
        <f>BH53+BI53</f>
        <v/>
      </c>
      <c r="BK53" s="56">
        <f>BK52+BJ53</f>
        <v/>
      </c>
      <c r="BL53" s="57">
        <f>IF(BJ53&gt;0,$A53,9999)</f>
        <v/>
      </c>
      <c r="BM53" s="57">
        <f>IF(BK53&gt;0,$A53,9999)</f>
        <v/>
      </c>
      <c r="BN53" s="55">
        <f>IF($A53-$D$15&lt;Premissas!$B$31,0,$C$15*(Premissas!$B$28+(Premissas!$B$29-Premissas!$B$28)*$A53/36)/(1+EXP(-Premissas!$B$33*($A53-$D$15-Premissas!$B$32))))</f>
        <v/>
      </c>
      <c r="BO53" s="56">
        <f>(BN53*$B$15+IF($A53&gt;=Premissas!$B$38+$D$15,$F$15,0))*(1-$E$15)*(1-Premissas!$B$53)</f>
        <v/>
      </c>
      <c r="BP53" s="56">
        <f>-(BN53*Premissas!$B$19+MAX(0,BN53-BN52)*Premissas!$B$24+IF($A53-$D$15&lt;=2,Premissas!$B$41,IF($A53-$D$15&lt;=5,Premissas!$B$42,IF($A53-$D$15&lt;=8,Premissas!$B$43,$G$15)))+IF($A53=1+$D$15,Premissas!$B$47,IF($A53=3+$D$15,Premissas!$B$48,IF($A53=6+$D$15,Premissas!$B$49,0))))</f>
        <v/>
      </c>
      <c r="BQ53" s="56">
        <f>BO53+BP53</f>
        <v/>
      </c>
      <c r="BR53" s="56">
        <f>BR52+BQ53</f>
        <v/>
      </c>
      <c r="BS53" s="57">
        <f>IF(BQ53&gt;0,$A53,9999)</f>
        <v/>
      </c>
      <c r="BT53" s="57">
        <f>IF(BR53&gt;0,$A53,9999)</f>
        <v/>
      </c>
    </row>
    <row r="54">
      <c r="A54" s="12" t="n">
        <v>19</v>
      </c>
      <c r="C54" s="55">
        <f>IF($A54-$D$6&lt;Premissas!$B$31,0,$C$6*(Premissas!$B$28+(Premissas!$B$29-Premissas!$B$28)*$A54/36)/(1+EXP(-Premissas!$B$33*($A54-$D$6-Premissas!$B$32))))</f>
        <v/>
      </c>
      <c r="D54" s="56">
        <f>(C54*$B$6+IF($A54&gt;=Premissas!$B$38+$D$6,$F$6,0))*(1-$E$6)*(1-Premissas!$B$53)</f>
        <v/>
      </c>
      <c r="E54" s="56">
        <f>-(C54*Premissas!$B$19+MAX(0,C54-C53)*Premissas!$B$24+IF($A54-$D$6&lt;=2,Premissas!$B$41,IF($A54-$D$6&lt;=5,Premissas!$B$42,IF($A54-$D$6&lt;=8,Premissas!$B$43,$G$6)))+IF($A54=1+$D$6,Premissas!$B$47,IF($A54=3+$D$6,Premissas!$B$48,IF($A54=6+$D$6,Premissas!$B$49,0))))</f>
        <v/>
      </c>
      <c r="F54" s="56">
        <f>D54+E54</f>
        <v/>
      </c>
      <c r="G54" s="56">
        <f>G53+F54</f>
        <v/>
      </c>
      <c r="H54" s="57">
        <f>IF(F54&gt;0,$A54,9999)</f>
        <v/>
      </c>
      <c r="I54" s="57">
        <f>IF(G54&gt;0,$A54,9999)</f>
        <v/>
      </c>
      <c r="J54" s="55">
        <f>IF($A54-$D$7&lt;Premissas!$B$31,0,$C$7*(Premissas!$B$28+(Premissas!$B$29-Premissas!$B$28)*$A54/36)/(1+EXP(-Premissas!$B$33*($A54-$D$7-Premissas!$B$32))))</f>
        <v/>
      </c>
      <c r="K54" s="56">
        <f>(J54*$B$7+IF($A54&gt;=Premissas!$B$38+$D$7,$F$7,0))*(1-$E$7)*(1-Premissas!$B$53)</f>
        <v/>
      </c>
      <c r="L54" s="56">
        <f>-(J54*Premissas!$B$19+MAX(0,J54-J53)*Premissas!$B$24+IF($A54-$D$7&lt;=2,Premissas!$B$41,IF($A54-$D$7&lt;=5,Premissas!$B$42,IF($A54-$D$7&lt;=8,Premissas!$B$43,$G$7)))+IF($A54=1+$D$7,Premissas!$B$47,IF($A54=3+$D$7,Premissas!$B$48,IF($A54=6+$D$7,Premissas!$B$49,0))))</f>
        <v/>
      </c>
      <c r="M54" s="56">
        <f>K54+L54</f>
        <v/>
      </c>
      <c r="N54" s="56">
        <f>N53+M54</f>
        <v/>
      </c>
      <c r="O54" s="57">
        <f>IF(M54&gt;0,$A54,9999)</f>
        <v/>
      </c>
      <c r="P54" s="57">
        <f>IF(N54&gt;0,$A54,9999)</f>
        <v/>
      </c>
      <c r="Q54" s="55">
        <f>IF($A54-$D$8&lt;Premissas!$B$31,0,$C$8*(Premissas!$B$28+(Premissas!$B$29-Premissas!$B$28)*$A54/36)/(1+EXP(-Premissas!$B$33*($A54-$D$8-Premissas!$B$32))))</f>
        <v/>
      </c>
      <c r="R54" s="56">
        <f>(Q54*$B$8+IF($A54&gt;=Premissas!$B$38+$D$8,$F$8,0))*(1-$E$8)*(1-Premissas!$B$53)</f>
        <v/>
      </c>
      <c r="S54" s="56">
        <f>-(Q54*Premissas!$B$19+MAX(0,Q54-Q53)*Premissas!$B$24+IF($A54-$D$8&lt;=2,Premissas!$B$41,IF($A54-$D$8&lt;=5,Premissas!$B$42,IF($A54-$D$8&lt;=8,Premissas!$B$43,$G$8)))+IF($A54=1+$D$8,Premissas!$B$47,IF($A54=3+$D$8,Premissas!$B$48,IF($A54=6+$D$8,Premissas!$B$49,0))))</f>
        <v/>
      </c>
      <c r="T54" s="56">
        <f>R54+S54</f>
        <v/>
      </c>
      <c r="U54" s="56">
        <f>U53+T54</f>
        <v/>
      </c>
      <c r="V54" s="57">
        <f>IF(T54&gt;0,$A54,9999)</f>
        <v/>
      </c>
      <c r="W54" s="57">
        <f>IF(U54&gt;0,$A54,9999)</f>
        <v/>
      </c>
      <c r="X54" s="55">
        <f>IF($A54-$D$9&lt;Premissas!$B$31,0,$C$9*(Premissas!$B$28+(Premissas!$B$29-Premissas!$B$28)*$A54/36)/(1+EXP(-Premissas!$B$33*($A54-$D$9-Premissas!$B$32))))</f>
        <v/>
      </c>
      <c r="Y54" s="56">
        <f>(X54*$B$9+IF($A54&gt;=Premissas!$B$38+$D$9,$F$9,0))*(1-$E$9)*(1-Premissas!$B$53)</f>
        <v/>
      </c>
      <c r="Z54" s="56">
        <f>-(X54*Premissas!$B$19+MAX(0,X54-X53)*Premissas!$B$24+IF($A54-$D$9&lt;=2,Premissas!$B$41,IF($A54-$D$9&lt;=5,Premissas!$B$42,IF($A54-$D$9&lt;=8,Premissas!$B$43,$G$9)))+IF($A54=1+$D$9,Premissas!$B$47,IF($A54=3+$D$9,Premissas!$B$48,IF($A54=6+$D$9,Premissas!$B$49,0))))</f>
        <v/>
      </c>
      <c r="AA54" s="56">
        <f>Y54+Z54</f>
        <v/>
      </c>
      <c r="AB54" s="56">
        <f>AB53+AA54</f>
        <v/>
      </c>
      <c r="AC54" s="57">
        <f>IF(AA54&gt;0,$A54,9999)</f>
        <v/>
      </c>
      <c r="AD54" s="57">
        <f>IF(AB54&gt;0,$A54,9999)</f>
        <v/>
      </c>
      <c r="AE54" s="55">
        <f>IF($A54-$D$10&lt;Premissas!$B$31,0,$C$10*(Premissas!$B$28+(Premissas!$B$29-Premissas!$B$28)*$A54/36)/(1+EXP(-Premissas!$B$33*($A54-$D$10-Premissas!$B$32))))</f>
        <v/>
      </c>
      <c r="AF54" s="56">
        <f>(AE54*$B$10+IF($A54&gt;=Premissas!$B$38+$D$10,$F$10,0))*(1-$E$10)*(1-Premissas!$B$53)</f>
        <v/>
      </c>
      <c r="AG54" s="56">
        <f>-(AE54*Premissas!$B$19+MAX(0,AE54-AE53)*Premissas!$B$24+IF($A54-$D$10&lt;=2,Premissas!$B$41,IF($A54-$D$10&lt;=5,Premissas!$B$42,IF($A54-$D$10&lt;=8,Premissas!$B$43,$G$10)))+IF($A54=1+$D$10,Premissas!$B$47,IF($A54=3+$D$10,Premissas!$B$48,IF($A54=6+$D$10,Premissas!$B$49,0))))</f>
        <v/>
      </c>
      <c r="AH54" s="56">
        <f>AF54+AG54</f>
        <v/>
      </c>
      <c r="AI54" s="56">
        <f>AI53+AH54</f>
        <v/>
      </c>
      <c r="AJ54" s="57">
        <f>IF(AH54&gt;0,$A54,9999)</f>
        <v/>
      </c>
      <c r="AK54" s="57">
        <f>IF(AI54&gt;0,$A54,9999)</f>
        <v/>
      </c>
      <c r="AL54" s="55">
        <f>IF($A54-$D$11&lt;Premissas!$B$31,0,$C$11*(Premissas!$B$28+(Premissas!$B$29-Premissas!$B$28)*$A54/36)/(1+EXP(-Premissas!$B$33*($A54-$D$11-Premissas!$B$32))))</f>
        <v/>
      </c>
      <c r="AM54" s="56">
        <f>(AL54*$B$11+IF($A54&gt;=Premissas!$B$38+$D$11,$F$11,0))*(1-$E$11)*(1-Premissas!$B$53)</f>
        <v/>
      </c>
      <c r="AN54" s="56">
        <f>-(AL54*Premissas!$B$19+MAX(0,AL54-AL53)*Premissas!$B$24+IF($A54-$D$11&lt;=2,Premissas!$B$41,IF($A54-$D$11&lt;=5,Premissas!$B$42,IF($A54-$D$11&lt;=8,Premissas!$B$43,$G$11)))+IF($A54=1+$D$11,Premissas!$B$47,IF($A54=3+$D$11,Premissas!$B$48,IF($A54=6+$D$11,Premissas!$B$49,0))))</f>
        <v/>
      </c>
      <c r="AO54" s="56">
        <f>AM54+AN54</f>
        <v/>
      </c>
      <c r="AP54" s="56">
        <f>AP53+AO54</f>
        <v/>
      </c>
      <c r="AQ54" s="57">
        <f>IF(AO54&gt;0,$A54,9999)</f>
        <v/>
      </c>
      <c r="AR54" s="57">
        <f>IF(AP54&gt;0,$A54,9999)</f>
        <v/>
      </c>
      <c r="AS54" s="55">
        <f>IF($A54-$D$12&lt;Premissas!$B$31,0,$C$12*(Premissas!$B$28+(Premissas!$B$29-Premissas!$B$28)*$A54/36)/(1+EXP(-Premissas!$B$33*($A54-$D$12-Premissas!$B$32))))</f>
        <v/>
      </c>
      <c r="AT54" s="56">
        <f>(AS54*$B$12+IF($A54&gt;=Premissas!$B$38+$D$12,$F$12,0))*(1-$E$12)*(1-Premissas!$B$53)</f>
        <v/>
      </c>
      <c r="AU54" s="56">
        <f>-(AS54*Premissas!$B$19+MAX(0,AS54-AS53)*Premissas!$B$24+IF($A54-$D$12&lt;=2,Premissas!$B$41,IF($A54-$D$12&lt;=5,Premissas!$B$42,IF($A54-$D$12&lt;=8,Premissas!$B$43,$G$12)))+IF($A54=1+$D$12,Premissas!$B$47,IF($A54=3+$D$12,Premissas!$B$48,IF($A54=6+$D$12,Premissas!$B$49,0))))</f>
        <v/>
      </c>
      <c r="AV54" s="56">
        <f>AT54+AU54</f>
        <v/>
      </c>
      <c r="AW54" s="56">
        <f>AW53+AV54</f>
        <v/>
      </c>
      <c r="AX54" s="57">
        <f>IF(AV54&gt;0,$A54,9999)</f>
        <v/>
      </c>
      <c r="AY54" s="57">
        <f>IF(AW54&gt;0,$A54,9999)</f>
        <v/>
      </c>
      <c r="AZ54" s="55">
        <f>IF($A54-$D$13&lt;Premissas!$B$31,0,$C$13*(Premissas!$B$28+(Premissas!$B$29-Premissas!$B$28)*$A54/36)/(1+EXP(-Premissas!$B$33*($A54-$D$13-Premissas!$B$32))))</f>
        <v/>
      </c>
      <c r="BA54" s="56">
        <f>(AZ54*$B$13+IF($A54&gt;=Premissas!$B$38+$D$13,$F$13,0))*(1-$E$13)*(1-Premissas!$B$53)</f>
        <v/>
      </c>
      <c r="BB54" s="56">
        <f>-(AZ54*Premissas!$B$19+MAX(0,AZ54-AZ53)*Premissas!$B$24+IF($A54-$D$13&lt;=2,Premissas!$B$41,IF($A54-$D$13&lt;=5,Premissas!$B$42,IF($A54-$D$13&lt;=8,Premissas!$B$43,$G$13)))+IF($A54=1+$D$13,Premissas!$B$47,IF($A54=3+$D$13,Premissas!$B$48,IF($A54=6+$D$13,Premissas!$B$49,0))))</f>
        <v/>
      </c>
      <c r="BC54" s="56">
        <f>BA54+BB54</f>
        <v/>
      </c>
      <c r="BD54" s="56">
        <f>BD53+BC54</f>
        <v/>
      </c>
      <c r="BE54" s="57">
        <f>IF(BC54&gt;0,$A54,9999)</f>
        <v/>
      </c>
      <c r="BF54" s="57">
        <f>IF(BD54&gt;0,$A54,9999)</f>
        <v/>
      </c>
      <c r="BG54" s="55">
        <f>IF($A54-$D$14&lt;Premissas!$B$31,0,$C$14*(Premissas!$B$28+(Premissas!$B$29-Premissas!$B$28)*$A54/36)/(1+EXP(-Premissas!$B$33*($A54-$D$14-Premissas!$B$32))))</f>
        <v/>
      </c>
      <c r="BH54" s="56">
        <f>(BG54*$B$14+IF($A54&gt;=Premissas!$B$38+$D$14,$F$14,0))*(1-$E$14)*(1-Premissas!$B$53)</f>
        <v/>
      </c>
      <c r="BI54" s="56">
        <f>-(BG54*Premissas!$B$19+MAX(0,BG54-BG53)*Premissas!$B$24+IF($A54-$D$14&lt;=2,Premissas!$B$41,IF($A54-$D$14&lt;=5,Premissas!$B$42,IF($A54-$D$14&lt;=8,Premissas!$B$43,$G$14)))+IF($A54=1+$D$14,Premissas!$B$47,IF($A54=3+$D$14,Premissas!$B$48,IF($A54=6+$D$14,Premissas!$B$49,0))))</f>
        <v/>
      </c>
      <c r="BJ54" s="56">
        <f>BH54+BI54</f>
        <v/>
      </c>
      <c r="BK54" s="56">
        <f>BK53+BJ54</f>
        <v/>
      </c>
      <c r="BL54" s="57">
        <f>IF(BJ54&gt;0,$A54,9999)</f>
        <v/>
      </c>
      <c r="BM54" s="57">
        <f>IF(BK54&gt;0,$A54,9999)</f>
        <v/>
      </c>
      <c r="BN54" s="55">
        <f>IF($A54-$D$15&lt;Premissas!$B$31,0,$C$15*(Premissas!$B$28+(Premissas!$B$29-Premissas!$B$28)*$A54/36)/(1+EXP(-Premissas!$B$33*($A54-$D$15-Premissas!$B$32))))</f>
        <v/>
      </c>
      <c r="BO54" s="56">
        <f>(BN54*$B$15+IF($A54&gt;=Premissas!$B$38+$D$15,$F$15,0))*(1-$E$15)*(1-Premissas!$B$53)</f>
        <v/>
      </c>
      <c r="BP54" s="56">
        <f>-(BN54*Premissas!$B$19+MAX(0,BN54-BN53)*Premissas!$B$24+IF($A54-$D$15&lt;=2,Premissas!$B$41,IF($A54-$D$15&lt;=5,Premissas!$B$42,IF($A54-$D$15&lt;=8,Premissas!$B$43,$G$15)))+IF($A54=1+$D$15,Premissas!$B$47,IF($A54=3+$D$15,Premissas!$B$48,IF($A54=6+$D$15,Premissas!$B$49,0))))</f>
        <v/>
      </c>
      <c r="BQ54" s="56">
        <f>BO54+BP54</f>
        <v/>
      </c>
      <c r="BR54" s="56">
        <f>BR53+BQ54</f>
        <v/>
      </c>
      <c r="BS54" s="57">
        <f>IF(BQ54&gt;0,$A54,9999)</f>
        <v/>
      </c>
      <c r="BT54" s="57">
        <f>IF(BR54&gt;0,$A54,9999)</f>
        <v/>
      </c>
    </row>
    <row r="55">
      <c r="A55" s="12" t="n">
        <v>20</v>
      </c>
      <c r="C55" s="55">
        <f>IF($A55-$D$6&lt;Premissas!$B$31,0,$C$6*(Premissas!$B$28+(Premissas!$B$29-Premissas!$B$28)*$A55/36)/(1+EXP(-Premissas!$B$33*($A55-$D$6-Premissas!$B$32))))</f>
        <v/>
      </c>
      <c r="D55" s="56">
        <f>(C55*$B$6+IF($A55&gt;=Premissas!$B$38+$D$6,$F$6,0))*(1-$E$6)*(1-Premissas!$B$53)</f>
        <v/>
      </c>
      <c r="E55" s="56">
        <f>-(C55*Premissas!$B$19+MAX(0,C55-C54)*Premissas!$B$24+IF($A55-$D$6&lt;=2,Premissas!$B$41,IF($A55-$D$6&lt;=5,Premissas!$B$42,IF($A55-$D$6&lt;=8,Premissas!$B$43,$G$6)))+IF($A55=1+$D$6,Premissas!$B$47,IF($A55=3+$D$6,Premissas!$B$48,IF($A55=6+$D$6,Premissas!$B$49,0))))</f>
        <v/>
      </c>
      <c r="F55" s="56">
        <f>D55+E55</f>
        <v/>
      </c>
      <c r="G55" s="56">
        <f>G54+F55</f>
        <v/>
      </c>
      <c r="H55" s="57">
        <f>IF(F55&gt;0,$A55,9999)</f>
        <v/>
      </c>
      <c r="I55" s="57">
        <f>IF(G55&gt;0,$A55,9999)</f>
        <v/>
      </c>
      <c r="J55" s="55">
        <f>IF($A55-$D$7&lt;Premissas!$B$31,0,$C$7*(Premissas!$B$28+(Premissas!$B$29-Premissas!$B$28)*$A55/36)/(1+EXP(-Premissas!$B$33*($A55-$D$7-Premissas!$B$32))))</f>
        <v/>
      </c>
      <c r="K55" s="56">
        <f>(J55*$B$7+IF($A55&gt;=Premissas!$B$38+$D$7,$F$7,0))*(1-$E$7)*(1-Premissas!$B$53)</f>
        <v/>
      </c>
      <c r="L55" s="56">
        <f>-(J55*Premissas!$B$19+MAX(0,J55-J54)*Premissas!$B$24+IF($A55-$D$7&lt;=2,Premissas!$B$41,IF($A55-$D$7&lt;=5,Premissas!$B$42,IF($A55-$D$7&lt;=8,Premissas!$B$43,$G$7)))+IF($A55=1+$D$7,Premissas!$B$47,IF($A55=3+$D$7,Premissas!$B$48,IF($A55=6+$D$7,Premissas!$B$49,0))))</f>
        <v/>
      </c>
      <c r="M55" s="56">
        <f>K55+L55</f>
        <v/>
      </c>
      <c r="N55" s="56">
        <f>N54+M55</f>
        <v/>
      </c>
      <c r="O55" s="57">
        <f>IF(M55&gt;0,$A55,9999)</f>
        <v/>
      </c>
      <c r="P55" s="57">
        <f>IF(N55&gt;0,$A55,9999)</f>
        <v/>
      </c>
      <c r="Q55" s="55">
        <f>IF($A55-$D$8&lt;Premissas!$B$31,0,$C$8*(Premissas!$B$28+(Premissas!$B$29-Premissas!$B$28)*$A55/36)/(1+EXP(-Premissas!$B$33*($A55-$D$8-Premissas!$B$32))))</f>
        <v/>
      </c>
      <c r="R55" s="56">
        <f>(Q55*$B$8+IF($A55&gt;=Premissas!$B$38+$D$8,$F$8,0))*(1-$E$8)*(1-Premissas!$B$53)</f>
        <v/>
      </c>
      <c r="S55" s="56">
        <f>-(Q55*Premissas!$B$19+MAX(0,Q55-Q54)*Premissas!$B$24+IF($A55-$D$8&lt;=2,Premissas!$B$41,IF($A55-$D$8&lt;=5,Premissas!$B$42,IF($A55-$D$8&lt;=8,Premissas!$B$43,$G$8)))+IF($A55=1+$D$8,Premissas!$B$47,IF($A55=3+$D$8,Premissas!$B$48,IF($A55=6+$D$8,Premissas!$B$49,0))))</f>
        <v/>
      </c>
      <c r="T55" s="56">
        <f>R55+S55</f>
        <v/>
      </c>
      <c r="U55" s="56">
        <f>U54+T55</f>
        <v/>
      </c>
      <c r="V55" s="57">
        <f>IF(T55&gt;0,$A55,9999)</f>
        <v/>
      </c>
      <c r="W55" s="57">
        <f>IF(U55&gt;0,$A55,9999)</f>
        <v/>
      </c>
      <c r="X55" s="55">
        <f>IF($A55-$D$9&lt;Premissas!$B$31,0,$C$9*(Premissas!$B$28+(Premissas!$B$29-Premissas!$B$28)*$A55/36)/(1+EXP(-Premissas!$B$33*($A55-$D$9-Premissas!$B$32))))</f>
        <v/>
      </c>
      <c r="Y55" s="56">
        <f>(X55*$B$9+IF($A55&gt;=Premissas!$B$38+$D$9,$F$9,0))*(1-$E$9)*(1-Premissas!$B$53)</f>
        <v/>
      </c>
      <c r="Z55" s="56">
        <f>-(X55*Premissas!$B$19+MAX(0,X55-X54)*Premissas!$B$24+IF($A55-$D$9&lt;=2,Premissas!$B$41,IF($A55-$D$9&lt;=5,Premissas!$B$42,IF($A55-$D$9&lt;=8,Premissas!$B$43,$G$9)))+IF($A55=1+$D$9,Premissas!$B$47,IF($A55=3+$D$9,Premissas!$B$48,IF($A55=6+$D$9,Premissas!$B$49,0))))</f>
        <v/>
      </c>
      <c r="AA55" s="56">
        <f>Y55+Z55</f>
        <v/>
      </c>
      <c r="AB55" s="56">
        <f>AB54+AA55</f>
        <v/>
      </c>
      <c r="AC55" s="57">
        <f>IF(AA55&gt;0,$A55,9999)</f>
        <v/>
      </c>
      <c r="AD55" s="57">
        <f>IF(AB55&gt;0,$A55,9999)</f>
        <v/>
      </c>
      <c r="AE55" s="55">
        <f>IF($A55-$D$10&lt;Premissas!$B$31,0,$C$10*(Premissas!$B$28+(Premissas!$B$29-Premissas!$B$28)*$A55/36)/(1+EXP(-Premissas!$B$33*($A55-$D$10-Premissas!$B$32))))</f>
        <v/>
      </c>
      <c r="AF55" s="56">
        <f>(AE55*$B$10+IF($A55&gt;=Premissas!$B$38+$D$10,$F$10,0))*(1-$E$10)*(1-Premissas!$B$53)</f>
        <v/>
      </c>
      <c r="AG55" s="56">
        <f>-(AE55*Premissas!$B$19+MAX(0,AE55-AE54)*Premissas!$B$24+IF($A55-$D$10&lt;=2,Premissas!$B$41,IF($A55-$D$10&lt;=5,Premissas!$B$42,IF($A55-$D$10&lt;=8,Premissas!$B$43,$G$10)))+IF($A55=1+$D$10,Premissas!$B$47,IF($A55=3+$D$10,Premissas!$B$48,IF($A55=6+$D$10,Premissas!$B$49,0))))</f>
        <v/>
      </c>
      <c r="AH55" s="56">
        <f>AF55+AG55</f>
        <v/>
      </c>
      <c r="AI55" s="56">
        <f>AI54+AH55</f>
        <v/>
      </c>
      <c r="AJ55" s="57">
        <f>IF(AH55&gt;0,$A55,9999)</f>
        <v/>
      </c>
      <c r="AK55" s="57">
        <f>IF(AI55&gt;0,$A55,9999)</f>
        <v/>
      </c>
      <c r="AL55" s="55">
        <f>IF($A55-$D$11&lt;Premissas!$B$31,0,$C$11*(Premissas!$B$28+(Premissas!$B$29-Premissas!$B$28)*$A55/36)/(1+EXP(-Premissas!$B$33*($A55-$D$11-Premissas!$B$32))))</f>
        <v/>
      </c>
      <c r="AM55" s="56">
        <f>(AL55*$B$11+IF($A55&gt;=Premissas!$B$38+$D$11,$F$11,0))*(1-$E$11)*(1-Premissas!$B$53)</f>
        <v/>
      </c>
      <c r="AN55" s="56">
        <f>-(AL55*Premissas!$B$19+MAX(0,AL55-AL54)*Premissas!$B$24+IF($A55-$D$11&lt;=2,Premissas!$B$41,IF($A55-$D$11&lt;=5,Premissas!$B$42,IF($A55-$D$11&lt;=8,Premissas!$B$43,$G$11)))+IF($A55=1+$D$11,Premissas!$B$47,IF($A55=3+$D$11,Premissas!$B$48,IF($A55=6+$D$11,Premissas!$B$49,0))))</f>
        <v/>
      </c>
      <c r="AO55" s="56">
        <f>AM55+AN55</f>
        <v/>
      </c>
      <c r="AP55" s="56">
        <f>AP54+AO55</f>
        <v/>
      </c>
      <c r="AQ55" s="57">
        <f>IF(AO55&gt;0,$A55,9999)</f>
        <v/>
      </c>
      <c r="AR55" s="57">
        <f>IF(AP55&gt;0,$A55,9999)</f>
        <v/>
      </c>
      <c r="AS55" s="55">
        <f>IF($A55-$D$12&lt;Premissas!$B$31,0,$C$12*(Premissas!$B$28+(Premissas!$B$29-Premissas!$B$28)*$A55/36)/(1+EXP(-Premissas!$B$33*($A55-$D$12-Premissas!$B$32))))</f>
        <v/>
      </c>
      <c r="AT55" s="56">
        <f>(AS55*$B$12+IF($A55&gt;=Premissas!$B$38+$D$12,$F$12,0))*(1-$E$12)*(1-Premissas!$B$53)</f>
        <v/>
      </c>
      <c r="AU55" s="56">
        <f>-(AS55*Premissas!$B$19+MAX(0,AS55-AS54)*Premissas!$B$24+IF($A55-$D$12&lt;=2,Premissas!$B$41,IF($A55-$D$12&lt;=5,Premissas!$B$42,IF($A55-$D$12&lt;=8,Premissas!$B$43,$G$12)))+IF($A55=1+$D$12,Premissas!$B$47,IF($A55=3+$D$12,Premissas!$B$48,IF($A55=6+$D$12,Premissas!$B$49,0))))</f>
        <v/>
      </c>
      <c r="AV55" s="56">
        <f>AT55+AU55</f>
        <v/>
      </c>
      <c r="AW55" s="56">
        <f>AW54+AV55</f>
        <v/>
      </c>
      <c r="AX55" s="57">
        <f>IF(AV55&gt;0,$A55,9999)</f>
        <v/>
      </c>
      <c r="AY55" s="57">
        <f>IF(AW55&gt;0,$A55,9999)</f>
        <v/>
      </c>
      <c r="AZ55" s="55">
        <f>IF($A55-$D$13&lt;Premissas!$B$31,0,$C$13*(Premissas!$B$28+(Premissas!$B$29-Premissas!$B$28)*$A55/36)/(1+EXP(-Premissas!$B$33*($A55-$D$13-Premissas!$B$32))))</f>
        <v/>
      </c>
      <c r="BA55" s="56">
        <f>(AZ55*$B$13+IF($A55&gt;=Premissas!$B$38+$D$13,$F$13,0))*(1-$E$13)*(1-Premissas!$B$53)</f>
        <v/>
      </c>
      <c r="BB55" s="56">
        <f>-(AZ55*Premissas!$B$19+MAX(0,AZ55-AZ54)*Premissas!$B$24+IF($A55-$D$13&lt;=2,Premissas!$B$41,IF($A55-$D$13&lt;=5,Premissas!$B$42,IF($A55-$D$13&lt;=8,Premissas!$B$43,$G$13)))+IF($A55=1+$D$13,Premissas!$B$47,IF($A55=3+$D$13,Premissas!$B$48,IF($A55=6+$D$13,Premissas!$B$49,0))))</f>
        <v/>
      </c>
      <c r="BC55" s="56">
        <f>BA55+BB55</f>
        <v/>
      </c>
      <c r="BD55" s="56">
        <f>BD54+BC55</f>
        <v/>
      </c>
      <c r="BE55" s="57">
        <f>IF(BC55&gt;0,$A55,9999)</f>
        <v/>
      </c>
      <c r="BF55" s="57">
        <f>IF(BD55&gt;0,$A55,9999)</f>
        <v/>
      </c>
      <c r="BG55" s="55">
        <f>IF($A55-$D$14&lt;Premissas!$B$31,0,$C$14*(Premissas!$B$28+(Premissas!$B$29-Premissas!$B$28)*$A55/36)/(1+EXP(-Premissas!$B$33*($A55-$D$14-Premissas!$B$32))))</f>
        <v/>
      </c>
      <c r="BH55" s="56">
        <f>(BG55*$B$14+IF($A55&gt;=Premissas!$B$38+$D$14,$F$14,0))*(1-$E$14)*(1-Premissas!$B$53)</f>
        <v/>
      </c>
      <c r="BI55" s="56">
        <f>-(BG55*Premissas!$B$19+MAX(0,BG55-BG54)*Premissas!$B$24+IF($A55-$D$14&lt;=2,Premissas!$B$41,IF($A55-$D$14&lt;=5,Premissas!$B$42,IF($A55-$D$14&lt;=8,Premissas!$B$43,$G$14)))+IF($A55=1+$D$14,Premissas!$B$47,IF($A55=3+$D$14,Premissas!$B$48,IF($A55=6+$D$14,Premissas!$B$49,0))))</f>
        <v/>
      </c>
      <c r="BJ55" s="56">
        <f>BH55+BI55</f>
        <v/>
      </c>
      <c r="BK55" s="56">
        <f>BK54+BJ55</f>
        <v/>
      </c>
      <c r="BL55" s="57">
        <f>IF(BJ55&gt;0,$A55,9999)</f>
        <v/>
      </c>
      <c r="BM55" s="57">
        <f>IF(BK55&gt;0,$A55,9999)</f>
        <v/>
      </c>
      <c r="BN55" s="55">
        <f>IF($A55-$D$15&lt;Premissas!$B$31,0,$C$15*(Premissas!$B$28+(Premissas!$B$29-Premissas!$B$28)*$A55/36)/(1+EXP(-Premissas!$B$33*($A55-$D$15-Premissas!$B$32))))</f>
        <v/>
      </c>
      <c r="BO55" s="56">
        <f>(BN55*$B$15+IF($A55&gt;=Premissas!$B$38+$D$15,$F$15,0))*(1-$E$15)*(1-Premissas!$B$53)</f>
        <v/>
      </c>
      <c r="BP55" s="56">
        <f>-(BN55*Premissas!$B$19+MAX(0,BN55-BN54)*Premissas!$B$24+IF($A55-$D$15&lt;=2,Premissas!$B$41,IF($A55-$D$15&lt;=5,Premissas!$B$42,IF($A55-$D$15&lt;=8,Premissas!$B$43,$G$15)))+IF($A55=1+$D$15,Premissas!$B$47,IF($A55=3+$D$15,Premissas!$B$48,IF($A55=6+$D$15,Premissas!$B$49,0))))</f>
        <v/>
      </c>
      <c r="BQ55" s="56">
        <f>BO55+BP55</f>
        <v/>
      </c>
      <c r="BR55" s="56">
        <f>BR54+BQ55</f>
        <v/>
      </c>
      <c r="BS55" s="57">
        <f>IF(BQ55&gt;0,$A55,9999)</f>
        <v/>
      </c>
      <c r="BT55" s="57">
        <f>IF(BR55&gt;0,$A55,9999)</f>
        <v/>
      </c>
    </row>
    <row r="56">
      <c r="A56" s="12" t="n">
        <v>21</v>
      </c>
      <c r="C56" s="55">
        <f>IF($A56-$D$6&lt;Premissas!$B$31,0,$C$6*(Premissas!$B$28+(Premissas!$B$29-Premissas!$B$28)*$A56/36)/(1+EXP(-Premissas!$B$33*($A56-$D$6-Premissas!$B$32))))</f>
        <v/>
      </c>
      <c r="D56" s="56">
        <f>(C56*$B$6+IF($A56&gt;=Premissas!$B$38+$D$6,$F$6,0))*(1-$E$6)*(1-Premissas!$B$53)</f>
        <v/>
      </c>
      <c r="E56" s="56">
        <f>-(C56*Premissas!$B$19+MAX(0,C56-C55)*Premissas!$B$24+IF($A56-$D$6&lt;=2,Premissas!$B$41,IF($A56-$D$6&lt;=5,Premissas!$B$42,IF($A56-$D$6&lt;=8,Premissas!$B$43,$G$6)))+IF($A56=1+$D$6,Premissas!$B$47,IF($A56=3+$D$6,Premissas!$B$48,IF($A56=6+$D$6,Premissas!$B$49,0))))</f>
        <v/>
      </c>
      <c r="F56" s="56">
        <f>D56+E56</f>
        <v/>
      </c>
      <c r="G56" s="56">
        <f>G55+F56</f>
        <v/>
      </c>
      <c r="H56" s="57">
        <f>IF(F56&gt;0,$A56,9999)</f>
        <v/>
      </c>
      <c r="I56" s="57">
        <f>IF(G56&gt;0,$A56,9999)</f>
        <v/>
      </c>
      <c r="J56" s="55">
        <f>IF($A56-$D$7&lt;Premissas!$B$31,0,$C$7*(Premissas!$B$28+(Premissas!$B$29-Premissas!$B$28)*$A56/36)/(1+EXP(-Premissas!$B$33*($A56-$D$7-Premissas!$B$32))))</f>
        <v/>
      </c>
      <c r="K56" s="56">
        <f>(J56*$B$7+IF($A56&gt;=Premissas!$B$38+$D$7,$F$7,0))*(1-$E$7)*(1-Premissas!$B$53)</f>
        <v/>
      </c>
      <c r="L56" s="56">
        <f>-(J56*Premissas!$B$19+MAX(0,J56-J55)*Premissas!$B$24+IF($A56-$D$7&lt;=2,Premissas!$B$41,IF($A56-$D$7&lt;=5,Premissas!$B$42,IF($A56-$D$7&lt;=8,Premissas!$B$43,$G$7)))+IF($A56=1+$D$7,Premissas!$B$47,IF($A56=3+$D$7,Premissas!$B$48,IF($A56=6+$D$7,Premissas!$B$49,0))))</f>
        <v/>
      </c>
      <c r="M56" s="56">
        <f>K56+L56</f>
        <v/>
      </c>
      <c r="N56" s="56">
        <f>N55+M56</f>
        <v/>
      </c>
      <c r="O56" s="57">
        <f>IF(M56&gt;0,$A56,9999)</f>
        <v/>
      </c>
      <c r="P56" s="57">
        <f>IF(N56&gt;0,$A56,9999)</f>
        <v/>
      </c>
      <c r="Q56" s="55">
        <f>IF($A56-$D$8&lt;Premissas!$B$31,0,$C$8*(Premissas!$B$28+(Premissas!$B$29-Premissas!$B$28)*$A56/36)/(1+EXP(-Premissas!$B$33*($A56-$D$8-Premissas!$B$32))))</f>
        <v/>
      </c>
      <c r="R56" s="56">
        <f>(Q56*$B$8+IF($A56&gt;=Premissas!$B$38+$D$8,$F$8,0))*(1-$E$8)*(1-Premissas!$B$53)</f>
        <v/>
      </c>
      <c r="S56" s="56">
        <f>-(Q56*Premissas!$B$19+MAX(0,Q56-Q55)*Premissas!$B$24+IF($A56-$D$8&lt;=2,Premissas!$B$41,IF($A56-$D$8&lt;=5,Premissas!$B$42,IF($A56-$D$8&lt;=8,Premissas!$B$43,$G$8)))+IF($A56=1+$D$8,Premissas!$B$47,IF($A56=3+$D$8,Premissas!$B$48,IF($A56=6+$D$8,Premissas!$B$49,0))))</f>
        <v/>
      </c>
      <c r="T56" s="56">
        <f>R56+S56</f>
        <v/>
      </c>
      <c r="U56" s="56">
        <f>U55+T56</f>
        <v/>
      </c>
      <c r="V56" s="57">
        <f>IF(T56&gt;0,$A56,9999)</f>
        <v/>
      </c>
      <c r="W56" s="57">
        <f>IF(U56&gt;0,$A56,9999)</f>
        <v/>
      </c>
      <c r="X56" s="55">
        <f>IF($A56-$D$9&lt;Premissas!$B$31,0,$C$9*(Premissas!$B$28+(Premissas!$B$29-Premissas!$B$28)*$A56/36)/(1+EXP(-Premissas!$B$33*($A56-$D$9-Premissas!$B$32))))</f>
        <v/>
      </c>
      <c r="Y56" s="56">
        <f>(X56*$B$9+IF($A56&gt;=Premissas!$B$38+$D$9,$F$9,0))*(1-$E$9)*(1-Premissas!$B$53)</f>
        <v/>
      </c>
      <c r="Z56" s="56">
        <f>-(X56*Premissas!$B$19+MAX(0,X56-X55)*Premissas!$B$24+IF($A56-$D$9&lt;=2,Premissas!$B$41,IF($A56-$D$9&lt;=5,Premissas!$B$42,IF($A56-$D$9&lt;=8,Premissas!$B$43,$G$9)))+IF($A56=1+$D$9,Premissas!$B$47,IF($A56=3+$D$9,Premissas!$B$48,IF($A56=6+$D$9,Premissas!$B$49,0))))</f>
        <v/>
      </c>
      <c r="AA56" s="56">
        <f>Y56+Z56</f>
        <v/>
      </c>
      <c r="AB56" s="56">
        <f>AB55+AA56</f>
        <v/>
      </c>
      <c r="AC56" s="57">
        <f>IF(AA56&gt;0,$A56,9999)</f>
        <v/>
      </c>
      <c r="AD56" s="57">
        <f>IF(AB56&gt;0,$A56,9999)</f>
        <v/>
      </c>
      <c r="AE56" s="55">
        <f>IF($A56-$D$10&lt;Premissas!$B$31,0,$C$10*(Premissas!$B$28+(Premissas!$B$29-Premissas!$B$28)*$A56/36)/(1+EXP(-Premissas!$B$33*($A56-$D$10-Premissas!$B$32))))</f>
        <v/>
      </c>
      <c r="AF56" s="56">
        <f>(AE56*$B$10+IF($A56&gt;=Premissas!$B$38+$D$10,$F$10,0))*(1-$E$10)*(1-Premissas!$B$53)</f>
        <v/>
      </c>
      <c r="AG56" s="56">
        <f>-(AE56*Premissas!$B$19+MAX(0,AE56-AE55)*Premissas!$B$24+IF($A56-$D$10&lt;=2,Premissas!$B$41,IF($A56-$D$10&lt;=5,Premissas!$B$42,IF($A56-$D$10&lt;=8,Premissas!$B$43,$G$10)))+IF($A56=1+$D$10,Premissas!$B$47,IF($A56=3+$D$10,Premissas!$B$48,IF($A56=6+$D$10,Premissas!$B$49,0))))</f>
        <v/>
      </c>
      <c r="AH56" s="56">
        <f>AF56+AG56</f>
        <v/>
      </c>
      <c r="AI56" s="56">
        <f>AI55+AH56</f>
        <v/>
      </c>
      <c r="AJ56" s="57">
        <f>IF(AH56&gt;0,$A56,9999)</f>
        <v/>
      </c>
      <c r="AK56" s="57">
        <f>IF(AI56&gt;0,$A56,9999)</f>
        <v/>
      </c>
      <c r="AL56" s="55">
        <f>IF($A56-$D$11&lt;Premissas!$B$31,0,$C$11*(Premissas!$B$28+(Premissas!$B$29-Premissas!$B$28)*$A56/36)/(1+EXP(-Premissas!$B$33*($A56-$D$11-Premissas!$B$32))))</f>
        <v/>
      </c>
      <c r="AM56" s="56">
        <f>(AL56*$B$11+IF($A56&gt;=Premissas!$B$38+$D$11,$F$11,0))*(1-$E$11)*(1-Premissas!$B$53)</f>
        <v/>
      </c>
      <c r="AN56" s="56">
        <f>-(AL56*Premissas!$B$19+MAX(0,AL56-AL55)*Premissas!$B$24+IF($A56-$D$11&lt;=2,Premissas!$B$41,IF($A56-$D$11&lt;=5,Premissas!$B$42,IF($A56-$D$11&lt;=8,Premissas!$B$43,$G$11)))+IF($A56=1+$D$11,Premissas!$B$47,IF($A56=3+$D$11,Premissas!$B$48,IF($A56=6+$D$11,Premissas!$B$49,0))))</f>
        <v/>
      </c>
      <c r="AO56" s="56">
        <f>AM56+AN56</f>
        <v/>
      </c>
      <c r="AP56" s="56">
        <f>AP55+AO56</f>
        <v/>
      </c>
      <c r="AQ56" s="57">
        <f>IF(AO56&gt;0,$A56,9999)</f>
        <v/>
      </c>
      <c r="AR56" s="57">
        <f>IF(AP56&gt;0,$A56,9999)</f>
        <v/>
      </c>
      <c r="AS56" s="55">
        <f>IF($A56-$D$12&lt;Premissas!$B$31,0,$C$12*(Premissas!$B$28+(Premissas!$B$29-Premissas!$B$28)*$A56/36)/(1+EXP(-Premissas!$B$33*($A56-$D$12-Premissas!$B$32))))</f>
        <v/>
      </c>
      <c r="AT56" s="56">
        <f>(AS56*$B$12+IF($A56&gt;=Premissas!$B$38+$D$12,$F$12,0))*(1-$E$12)*(1-Premissas!$B$53)</f>
        <v/>
      </c>
      <c r="AU56" s="56">
        <f>-(AS56*Premissas!$B$19+MAX(0,AS56-AS55)*Premissas!$B$24+IF($A56-$D$12&lt;=2,Premissas!$B$41,IF($A56-$D$12&lt;=5,Premissas!$B$42,IF($A56-$D$12&lt;=8,Premissas!$B$43,$G$12)))+IF($A56=1+$D$12,Premissas!$B$47,IF($A56=3+$D$12,Premissas!$B$48,IF($A56=6+$D$12,Premissas!$B$49,0))))</f>
        <v/>
      </c>
      <c r="AV56" s="56">
        <f>AT56+AU56</f>
        <v/>
      </c>
      <c r="AW56" s="56">
        <f>AW55+AV56</f>
        <v/>
      </c>
      <c r="AX56" s="57">
        <f>IF(AV56&gt;0,$A56,9999)</f>
        <v/>
      </c>
      <c r="AY56" s="57">
        <f>IF(AW56&gt;0,$A56,9999)</f>
        <v/>
      </c>
      <c r="AZ56" s="55">
        <f>IF($A56-$D$13&lt;Premissas!$B$31,0,$C$13*(Premissas!$B$28+(Premissas!$B$29-Premissas!$B$28)*$A56/36)/(1+EXP(-Premissas!$B$33*($A56-$D$13-Premissas!$B$32))))</f>
        <v/>
      </c>
      <c r="BA56" s="56">
        <f>(AZ56*$B$13+IF($A56&gt;=Premissas!$B$38+$D$13,$F$13,0))*(1-$E$13)*(1-Premissas!$B$53)</f>
        <v/>
      </c>
      <c r="BB56" s="56">
        <f>-(AZ56*Premissas!$B$19+MAX(0,AZ56-AZ55)*Premissas!$B$24+IF($A56-$D$13&lt;=2,Premissas!$B$41,IF($A56-$D$13&lt;=5,Premissas!$B$42,IF($A56-$D$13&lt;=8,Premissas!$B$43,$G$13)))+IF($A56=1+$D$13,Premissas!$B$47,IF($A56=3+$D$13,Premissas!$B$48,IF($A56=6+$D$13,Premissas!$B$49,0))))</f>
        <v/>
      </c>
      <c r="BC56" s="56">
        <f>BA56+BB56</f>
        <v/>
      </c>
      <c r="BD56" s="56">
        <f>BD55+BC56</f>
        <v/>
      </c>
      <c r="BE56" s="57">
        <f>IF(BC56&gt;0,$A56,9999)</f>
        <v/>
      </c>
      <c r="BF56" s="57">
        <f>IF(BD56&gt;0,$A56,9999)</f>
        <v/>
      </c>
      <c r="BG56" s="55">
        <f>IF($A56-$D$14&lt;Premissas!$B$31,0,$C$14*(Premissas!$B$28+(Premissas!$B$29-Premissas!$B$28)*$A56/36)/(1+EXP(-Premissas!$B$33*($A56-$D$14-Premissas!$B$32))))</f>
        <v/>
      </c>
      <c r="BH56" s="56">
        <f>(BG56*$B$14+IF($A56&gt;=Premissas!$B$38+$D$14,$F$14,0))*(1-$E$14)*(1-Premissas!$B$53)</f>
        <v/>
      </c>
      <c r="BI56" s="56">
        <f>-(BG56*Premissas!$B$19+MAX(0,BG56-BG55)*Premissas!$B$24+IF($A56-$D$14&lt;=2,Premissas!$B$41,IF($A56-$D$14&lt;=5,Premissas!$B$42,IF($A56-$D$14&lt;=8,Premissas!$B$43,$G$14)))+IF($A56=1+$D$14,Premissas!$B$47,IF($A56=3+$D$14,Premissas!$B$48,IF($A56=6+$D$14,Premissas!$B$49,0))))</f>
        <v/>
      </c>
      <c r="BJ56" s="56">
        <f>BH56+BI56</f>
        <v/>
      </c>
      <c r="BK56" s="56">
        <f>BK55+BJ56</f>
        <v/>
      </c>
      <c r="BL56" s="57">
        <f>IF(BJ56&gt;0,$A56,9999)</f>
        <v/>
      </c>
      <c r="BM56" s="57">
        <f>IF(BK56&gt;0,$A56,9999)</f>
        <v/>
      </c>
      <c r="BN56" s="55">
        <f>IF($A56-$D$15&lt;Premissas!$B$31,0,$C$15*(Premissas!$B$28+(Premissas!$B$29-Premissas!$B$28)*$A56/36)/(1+EXP(-Premissas!$B$33*($A56-$D$15-Premissas!$B$32))))</f>
        <v/>
      </c>
      <c r="BO56" s="56">
        <f>(BN56*$B$15+IF($A56&gt;=Premissas!$B$38+$D$15,$F$15,0))*(1-$E$15)*(1-Premissas!$B$53)</f>
        <v/>
      </c>
      <c r="BP56" s="56">
        <f>-(BN56*Premissas!$B$19+MAX(0,BN56-BN55)*Premissas!$B$24+IF($A56-$D$15&lt;=2,Premissas!$B$41,IF($A56-$D$15&lt;=5,Premissas!$B$42,IF($A56-$D$15&lt;=8,Premissas!$B$43,$G$15)))+IF($A56=1+$D$15,Premissas!$B$47,IF($A56=3+$D$15,Premissas!$B$48,IF($A56=6+$D$15,Premissas!$B$49,0))))</f>
        <v/>
      </c>
      <c r="BQ56" s="56">
        <f>BO56+BP56</f>
        <v/>
      </c>
      <c r="BR56" s="56">
        <f>BR55+BQ56</f>
        <v/>
      </c>
      <c r="BS56" s="57">
        <f>IF(BQ56&gt;0,$A56,9999)</f>
        <v/>
      </c>
      <c r="BT56" s="57">
        <f>IF(BR56&gt;0,$A56,9999)</f>
        <v/>
      </c>
    </row>
    <row r="57">
      <c r="A57" s="12" t="n">
        <v>22</v>
      </c>
      <c r="C57" s="55">
        <f>IF($A57-$D$6&lt;Premissas!$B$31,0,$C$6*(Premissas!$B$28+(Premissas!$B$29-Premissas!$B$28)*$A57/36)/(1+EXP(-Premissas!$B$33*($A57-$D$6-Premissas!$B$32))))</f>
        <v/>
      </c>
      <c r="D57" s="56">
        <f>(C57*$B$6+IF($A57&gt;=Premissas!$B$38+$D$6,$F$6,0))*(1-$E$6)*(1-Premissas!$B$53)</f>
        <v/>
      </c>
      <c r="E57" s="56">
        <f>-(C57*Premissas!$B$19+MAX(0,C57-C56)*Premissas!$B$24+IF($A57-$D$6&lt;=2,Premissas!$B$41,IF($A57-$D$6&lt;=5,Premissas!$B$42,IF($A57-$D$6&lt;=8,Premissas!$B$43,$G$6)))+IF($A57=1+$D$6,Premissas!$B$47,IF($A57=3+$D$6,Premissas!$B$48,IF($A57=6+$D$6,Premissas!$B$49,0))))</f>
        <v/>
      </c>
      <c r="F57" s="56">
        <f>D57+E57</f>
        <v/>
      </c>
      <c r="G57" s="56">
        <f>G56+F57</f>
        <v/>
      </c>
      <c r="H57" s="57">
        <f>IF(F57&gt;0,$A57,9999)</f>
        <v/>
      </c>
      <c r="I57" s="57">
        <f>IF(G57&gt;0,$A57,9999)</f>
        <v/>
      </c>
      <c r="J57" s="55">
        <f>IF($A57-$D$7&lt;Premissas!$B$31,0,$C$7*(Premissas!$B$28+(Premissas!$B$29-Premissas!$B$28)*$A57/36)/(1+EXP(-Premissas!$B$33*($A57-$D$7-Premissas!$B$32))))</f>
        <v/>
      </c>
      <c r="K57" s="56">
        <f>(J57*$B$7+IF($A57&gt;=Premissas!$B$38+$D$7,$F$7,0))*(1-$E$7)*(1-Premissas!$B$53)</f>
        <v/>
      </c>
      <c r="L57" s="56">
        <f>-(J57*Premissas!$B$19+MAX(0,J57-J56)*Premissas!$B$24+IF($A57-$D$7&lt;=2,Premissas!$B$41,IF($A57-$D$7&lt;=5,Premissas!$B$42,IF($A57-$D$7&lt;=8,Premissas!$B$43,$G$7)))+IF($A57=1+$D$7,Premissas!$B$47,IF($A57=3+$D$7,Premissas!$B$48,IF($A57=6+$D$7,Premissas!$B$49,0))))</f>
        <v/>
      </c>
      <c r="M57" s="56">
        <f>K57+L57</f>
        <v/>
      </c>
      <c r="N57" s="56">
        <f>N56+M57</f>
        <v/>
      </c>
      <c r="O57" s="57">
        <f>IF(M57&gt;0,$A57,9999)</f>
        <v/>
      </c>
      <c r="P57" s="57">
        <f>IF(N57&gt;0,$A57,9999)</f>
        <v/>
      </c>
      <c r="Q57" s="55">
        <f>IF($A57-$D$8&lt;Premissas!$B$31,0,$C$8*(Premissas!$B$28+(Premissas!$B$29-Premissas!$B$28)*$A57/36)/(1+EXP(-Premissas!$B$33*($A57-$D$8-Premissas!$B$32))))</f>
        <v/>
      </c>
      <c r="R57" s="56">
        <f>(Q57*$B$8+IF($A57&gt;=Premissas!$B$38+$D$8,$F$8,0))*(1-$E$8)*(1-Premissas!$B$53)</f>
        <v/>
      </c>
      <c r="S57" s="56">
        <f>-(Q57*Premissas!$B$19+MAX(0,Q57-Q56)*Premissas!$B$24+IF($A57-$D$8&lt;=2,Premissas!$B$41,IF($A57-$D$8&lt;=5,Premissas!$B$42,IF($A57-$D$8&lt;=8,Premissas!$B$43,$G$8)))+IF($A57=1+$D$8,Premissas!$B$47,IF($A57=3+$D$8,Premissas!$B$48,IF($A57=6+$D$8,Premissas!$B$49,0))))</f>
        <v/>
      </c>
      <c r="T57" s="56">
        <f>R57+S57</f>
        <v/>
      </c>
      <c r="U57" s="56">
        <f>U56+T57</f>
        <v/>
      </c>
      <c r="V57" s="57">
        <f>IF(T57&gt;0,$A57,9999)</f>
        <v/>
      </c>
      <c r="W57" s="57">
        <f>IF(U57&gt;0,$A57,9999)</f>
        <v/>
      </c>
      <c r="X57" s="55">
        <f>IF($A57-$D$9&lt;Premissas!$B$31,0,$C$9*(Premissas!$B$28+(Premissas!$B$29-Premissas!$B$28)*$A57/36)/(1+EXP(-Premissas!$B$33*($A57-$D$9-Premissas!$B$32))))</f>
        <v/>
      </c>
      <c r="Y57" s="56">
        <f>(X57*$B$9+IF($A57&gt;=Premissas!$B$38+$D$9,$F$9,0))*(1-$E$9)*(1-Premissas!$B$53)</f>
        <v/>
      </c>
      <c r="Z57" s="56">
        <f>-(X57*Premissas!$B$19+MAX(0,X57-X56)*Premissas!$B$24+IF($A57-$D$9&lt;=2,Premissas!$B$41,IF($A57-$D$9&lt;=5,Premissas!$B$42,IF($A57-$D$9&lt;=8,Premissas!$B$43,$G$9)))+IF($A57=1+$D$9,Premissas!$B$47,IF($A57=3+$D$9,Premissas!$B$48,IF($A57=6+$D$9,Premissas!$B$49,0))))</f>
        <v/>
      </c>
      <c r="AA57" s="56">
        <f>Y57+Z57</f>
        <v/>
      </c>
      <c r="AB57" s="56">
        <f>AB56+AA57</f>
        <v/>
      </c>
      <c r="AC57" s="57">
        <f>IF(AA57&gt;0,$A57,9999)</f>
        <v/>
      </c>
      <c r="AD57" s="57">
        <f>IF(AB57&gt;0,$A57,9999)</f>
        <v/>
      </c>
      <c r="AE57" s="55">
        <f>IF($A57-$D$10&lt;Premissas!$B$31,0,$C$10*(Premissas!$B$28+(Premissas!$B$29-Premissas!$B$28)*$A57/36)/(1+EXP(-Premissas!$B$33*($A57-$D$10-Premissas!$B$32))))</f>
        <v/>
      </c>
      <c r="AF57" s="56">
        <f>(AE57*$B$10+IF($A57&gt;=Premissas!$B$38+$D$10,$F$10,0))*(1-$E$10)*(1-Premissas!$B$53)</f>
        <v/>
      </c>
      <c r="AG57" s="56">
        <f>-(AE57*Premissas!$B$19+MAX(0,AE57-AE56)*Premissas!$B$24+IF($A57-$D$10&lt;=2,Premissas!$B$41,IF($A57-$D$10&lt;=5,Premissas!$B$42,IF($A57-$D$10&lt;=8,Premissas!$B$43,$G$10)))+IF($A57=1+$D$10,Premissas!$B$47,IF($A57=3+$D$10,Premissas!$B$48,IF($A57=6+$D$10,Premissas!$B$49,0))))</f>
        <v/>
      </c>
      <c r="AH57" s="56">
        <f>AF57+AG57</f>
        <v/>
      </c>
      <c r="AI57" s="56">
        <f>AI56+AH57</f>
        <v/>
      </c>
      <c r="AJ57" s="57">
        <f>IF(AH57&gt;0,$A57,9999)</f>
        <v/>
      </c>
      <c r="AK57" s="57">
        <f>IF(AI57&gt;0,$A57,9999)</f>
        <v/>
      </c>
      <c r="AL57" s="55">
        <f>IF($A57-$D$11&lt;Premissas!$B$31,0,$C$11*(Premissas!$B$28+(Premissas!$B$29-Premissas!$B$28)*$A57/36)/(1+EXP(-Premissas!$B$33*($A57-$D$11-Premissas!$B$32))))</f>
        <v/>
      </c>
      <c r="AM57" s="56">
        <f>(AL57*$B$11+IF($A57&gt;=Premissas!$B$38+$D$11,$F$11,0))*(1-$E$11)*(1-Premissas!$B$53)</f>
        <v/>
      </c>
      <c r="AN57" s="56">
        <f>-(AL57*Premissas!$B$19+MAX(0,AL57-AL56)*Premissas!$B$24+IF($A57-$D$11&lt;=2,Premissas!$B$41,IF($A57-$D$11&lt;=5,Premissas!$B$42,IF($A57-$D$11&lt;=8,Premissas!$B$43,$G$11)))+IF($A57=1+$D$11,Premissas!$B$47,IF($A57=3+$D$11,Premissas!$B$48,IF($A57=6+$D$11,Premissas!$B$49,0))))</f>
        <v/>
      </c>
      <c r="AO57" s="56">
        <f>AM57+AN57</f>
        <v/>
      </c>
      <c r="AP57" s="56">
        <f>AP56+AO57</f>
        <v/>
      </c>
      <c r="AQ57" s="57">
        <f>IF(AO57&gt;0,$A57,9999)</f>
        <v/>
      </c>
      <c r="AR57" s="57">
        <f>IF(AP57&gt;0,$A57,9999)</f>
        <v/>
      </c>
      <c r="AS57" s="55">
        <f>IF($A57-$D$12&lt;Premissas!$B$31,0,$C$12*(Premissas!$B$28+(Premissas!$B$29-Premissas!$B$28)*$A57/36)/(1+EXP(-Premissas!$B$33*($A57-$D$12-Premissas!$B$32))))</f>
        <v/>
      </c>
      <c r="AT57" s="56">
        <f>(AS57*$B$12+IF($A57&gt;=Premissas!$B$38+$D$12,$F$12,0))*(1-$E$12)*(1-Premissas!$B$53)</f>
        <v/>
      </c>
      <c r="AU57" s="56">
        <f>-(AS57*Premissas!$B$19+MAX(0,AS57-AS56)*Premissas!$B$24+IF($A57-$D$12&lt;=2,Premissas!$B$41,IF($A57-$D$12&lt;=5,Premissas!$B$42,IF($A57-$D$12&lt;=8,Premissas!$B$43,$G$12)))+IF($A57=1+$D$12,Premissas!$B$47,IF($A57=3+$D$12,Premissas!$B$48,IF($A57=6+$D$12,Premissas!$B$49,0))))</f>
        <v/>
      </c>
      <c r="AV57" s="56">
        <f>AT57+AU57</f>
        <v/>
      </c>
      <c r="AW57" s="56">
        <f>AW56+AV57</f>
        <v/>
      </c>
      <c r="AX57" s="57">
        <f>IF(AV57&gt;0,$A57,9999)</f>
        <v/>
      </c>
      <c r="AY57" s="57">
        <f>IF(AW57&gt;0,$A57,9999)</f>
        <v/>
      </c>
      <c r="AZ57" s="55">
        <f>IF($A57-$D$13&lt;Premissas!$B$31,0,$C$13*(Premissas!$B$28+(Premissas!$B$29-Premissas!$B$28)*$A57/36)/(1+EXP(-Premissas!$B$33*($A57-$D$13-Premissas!$B$32))))</f>
        <v/>
      </c>
      <c r="BA57" s="56">
        <f>(AZ57*$B$13+IF($A57&gt;=Premissas!$B$38+$D$13,$F$13,0))*(1-$E$13)*(1-Premissas!$B$53)</f>
        <v/>
      </c>
      <c r="BB57" s="56">
        <f>-(AZ57*Premissas!$B$19+MAX(0,AZ57-AZ56)*Premissas!$B$24+IF($A57-$D$13&lt;=2,Premissas!$B$41,IF($A57-$D$13&lt;=5,Premissas!$B$42,IF($A57-$D$13&lt;=8,Premissas!$B$43,$G$13)))+IF($A57=1+$D$13,Premissas!$B$47,IF($A57=3+$D$13,Premissas!$B$48,IF($A57=6+$D$13,Premissas!$B$49,0))))</f>
        <v/>
      </c>
      <c r="BC57" s="56">
        <f>BA57+BB57</f>
        <v/>
      </c>
      <c r="BD57" s="56">
        <f>BD56+BC57</f>
        <v/>
      </c>
      <c r="BE57" s="57">
        <f>IF(BC57&gt;0,$A57,9999)</f>
        <v/>
      </c>
      <c r="BF57" s="57">
        <f>IF(BD57&gt;0,$A57,9999)</f>
        <v/>
      </c>
      <c r="BG57" s="55">
        <f>IF($A57-$D$14&lt;Premissas!$B$31,0,$C$14*(Premissas!$B$28+(Premissas!$B$29-Premissas!$B$28)*$A57/36)/(1+EXP(-Premissas!$B$33*($A57-$D$14-Premissas!$B$32))))</f>
        <v/>
      </c>
      <c r="BH57" s="56">
        <f>(BG57*$B$14+IF($A57&gt;=Premissas!$B$38+$D$14,$F$14,0))*(1-$E$14)*(1-Premissas!$B$53)</f>
        <v/>
      </c>
      <c r="BI57" s="56">
        <f>-(BG57*Premissas!$B$19+MAX(0,BG57-BG56)*Premissas!$B$24+IF($A57-$D$14&lt;=2,Premissas!$B$41,IF($A57-$D$14&lt;=5,Premissas!$B$42,IF($A57-$D$14&lt;=8,Premissas!$B$43,$G$14)))+IF($A57=1+$D$14,Premissas!$B$47,IF($A57=3+$D$14,Premissas!$B$48,IF($A57=6+$D$14,Premissas!$B$49,0))))</f>
        <v/>
      </c>
      <c r="BJ57" s="56">
        <f>BH57+BI57</f>
        <v/>
      </c>
      <c r="BK57" s="56">
        <f>BK56+BJ57</f>
        <v/>
      </c>
      <c r="BL57" s="57">
        <f>IF(BJ57&gt;0,$A57,9999)</f>
        <v/>
      </c>
      <c r="BM57" s="57">
        <f>IF(BK57&gt;0,$A57,9999)</f>
        <v/>
      </c>
      <c r="BN57" s="55">
        <f>IF($A57-$D$15&lt;Premissas!$B$31,0,$C$15*(Premissas!$B$28+(Premissas!$B$29-Premissas!$B$28)*$A57/36)/(1+EXP(-Premissas!$B$33*($A57-$D$15-Premissas!$B$32))))</f>
        <v/>
      </c>
      <c r="BO57" s="56">
        <f>(BN57*$B$15+IF($A57&gt;=Premissas!$B$38+$D$15,$F$15,0))*(1-$E$15)*(1-Premissas!$B$53)</f>
        <v/>
      </c>
      <c r="BP57" s="56">
        <f>-(BN57*Premissas!$B$19+MAX(0,BN57-BN56)*Premissas!$B$24+IF($A57-$D$15&lt;=2,Premissas!$B$41,IF($A57-$D$15&lt;=5,Premissas!$B$42,IF($A57-$D$15&lt;=8,Premissas!$B$43,$G$15)))+IF($A57=1+$D$15,Premissas!$B$47,IF($A57=3+$D$15,Premissas!$B$48,IF($A57=6+$D$15,Premissas!$B$49,0))))</f>
        <v/>
      </c>
      <c r="BQ57" s="56">
        <f>BO57+BP57</f>
        <v/>
      </c>
      <c r="BR57" s="56">
        <f>BR56+BQ57</f>
        <v/>
      </c>
      <c r="BS57" s="57">
        <f>IF(BQ57&gt;0,$A57,9999)</f>
        <v/>
      </c>
      <c r="BT57" s="57">
        <f>IF(BR57&gt;0,$A57,9999)</f>
        <v/>
      </c>
    </row>
    <row r="58">
      <c r="A58" s="12" t="n">
        <v>23</v>
      </c>
      <c r="C58" s="55">
        <f>IF($A58-$D$6&lt;Premissas!$B$31,0,$C$6*(Premissas!$B$28+(Premissas!$B$29-Premissas!$B$28)*$A58/36)/(1+EXP(-Premissas!$B$33*($A58-$D$6-Premissas!$B$32))))</f>
        <v/>
      </c>
      <c r="D58" s="56">
        <f>(C58*$B$6+IF($A58&gt;=Premissas!$B$38+$D$6,$F$6,0))*(1-$E$6)*(1-Premissas!$B$53)</f>
        <v/>
      </c>
      <c r="E58" s="56">
        <f>-(C58*Premissas!$B$19+MAX(0,C58-C57)*Premissas!$B$24+IF($A58-$D$6&lt;=2,Premissas!$B$41,IF($A58-$D$6&lt;=5,Premissas!$B$42,IF($A58-$D$6&lt;=8,Premissas!$B$43,$G$6)))+IF($A58=1+$D$6,Premissas!$B$47,IF($A58=3+$D$6,Premissas!$B$48,IF($A58=6+$D$6,Premissas!$B$49,0))))</f>
        <v/>
      </c>
      <c r="F58" s="56">
        <f>D58+E58</f>
        <v/>
      </c>
      <c r="G58" s="56">
        <f>G57+F58</f>
        <v/>
      </c>
      <c r="H58" s="57">
        <f>IF(F58&gt;0,$A58,9999)</f>
        <v/>
      </c>
      <c r="I58" s="57">
        <f>IF(G58&gt;0,$A58,9999)</f>
        <v/>
      </c>
      <c r="J58" s="55">
        <f>IF($A58-$D$7&lt;Premissas!$B$31,0,$C$7*(Premissas!$B$28+(Premissas!$B$29-Premissas!$B$28)*$A58/36)/(1+EXP(-Premissas!$B$33*($A58-$D$7-Premissas!$B$32))))</f>
        <v/>
      </c>
      <c r="K58" s="56">
        <f>(J58*$B$7+IF($A58&gt;=Premissas!$B$38+$D$7,$F$7,0))*(1-$E$7)*(1-Premissas!$B$53)</f>
        <v/>
      </c>
      <c r="L58" s="56">
        <f>-(J58*Premissas!$B$19+MAX(0,J58-J57)*Premissas!$B$24+IF($A58-$D$7&lt;=2,Premissas!$B$41,IF($A58-$D$7&lt;=5,Premissas!$B$42,IF($A58-$D$7&lt;=8,Premissas!$B$43,$G$7)))+IF($A58=1+$D$7,Premissas!$B$47,IF($A58=3+$D$7,Premissas!$B$48,IF($A58=6+$D$7,Premissas!$B$49,0))))</f>
        <v/>
      </c>
      <c r="M58" s="56">
        <f>K58+L58</f>
        <v/>
      </c>
      <c r="N58" s="56">
        <f>N57+M58</f>
        <v/>
      </c>
      <c r="O58" s="57">
        <f>IF(M58&gt;0,$A58,9999)</f>
        <v/>
      </c>
      <c r="P58" s="57">
        <f>IF(N58&gt;0,$A58,9999)</f>
        <v/>
      </c>
      <c r="Q58" s="55">
        <f>IF($A58-$D$8&lt;Premissas!$B$31,0,$C$8*(Premissas!$B$28+(Premissas!$B$29-Premissas!$B$28)*$A58/36)/(1+EXP(-Premissas!$B$33*($A58-$D$8-Premissas!$B$32))))</f>
        <v/>
      </c>
      <c r="R58" s="56">
        <f>(Q58*$B$8+IF($A58&gt;=Premissas!$B$38+$D$8,$F$8,0))*(1-$E$8)*(1-Premissas!$B$53)</f>
        <v/>
      </c>
      <c r="S58" s="56">
        <f>-(Q58*Premissas!$B$19+MAX(0,Q58-Q57)*Premissas!$B$24+IF($A58-$D$8&lt;=2,Premissas!$B$41,IF($A58-$D$8&lt;=5,Premissas!$B$42,IF($A58-$D$8&lt;=8,Premissas!$B$43,$G$8)))+IF($A58=1+$D$8,Premissas!$B$47,IF($A58=3+$D$8,Premissas!$B$48,IF($A58=6+$D$8,Premissas!$B$49,0))))</f>
        <v/>
      </c>
      <c r="T58" s="56">
        <f>R58+S58</f>
        <v/>
      </c>
      <c r="U58" s="56">
        <f>U57+T58</f>
        <v/>
      </c>
      <c r="V58" s="57">
        <f>IF(T58&gt;0,$A58,9999)</f>
        <v/>
      </c>
      <c r="W58" s="57">
        <f>IF(U58&gt;0,$A58,9999)</f>
        <v/>
      </c>
      <c r="X58" s="55">
        <f>IF($A58-$D$9&lt;Premissas!$B$31,0,$C$9*(Premissas!$B$28+(Premissas!$B$29-Premissas!$B$28)*$A58/36)/(1+EXP(-Premissas!$B$33*($A58-$D$9-Premissas!$B$32))))</f>
        <v/>
      </c>
      <c r="Y58" s="56">
        <f>(X58*$B$9+IF($A58&gt;=Premissas!$B$38+$D$9,$F$9,0))*(1-$E$9)*(1-Premissas!$B$53)</f>
        <v/>
      </c>
      <c r="Z58" s="56">
        <f>-(X58*Premissas!$B$19+MAX(0,X58-X57)*Premissas!$B$24+IF($A58-$D$9&lt;=2,Premissas!$B$41,IF($A58-$D$9&lt;=5,Premissas!$B$42,IF($A58-$D$9&lt;=8,Premissas!$B$43,$G$9)))+IF($A58=1+$D$9,Premissas!$B$47,IF($A58=3+$D$9,Premissas!$B$48,IF($A58=6+$D$9,Premissas!$B$49,0))))</f>
        <v/>
      </c>
      <c r="AA58" s="56">
        <f>Y58+Z58</f>
        <v/>
      </c>
      <c r="AB58" s="56">
        <f>AB57+AA58</f>
        <v/>
      </c>
      <c r="AC58" s="57">
        <f>IF(AA58&gt;0,$A58,9999)</f>
        <v/>
      </c>
      <c r="AD58" s="57">
        <f>IF(AB58&gt;0,$A58,9999)</f>
        <v/>
      </c>
      <c r="AE58" s="55">
        <f>IF($A58-$D$10&lt;Premissas!$B$31,0,$C$10*(Premissas!$B$28+(Premissas!$B$29-Premissas!$B$28)*$A58/36)/(1+EXP(-Premissas!$B$33*($A58-$D$10-Premissas!$B$32))))</f>
        <v/>
      </c>
      <c r="AF58" s="56">
        <f>(AE58*$B$10+IF($A58&gt;=Premissas!$B$38+$D$10,$F$10,0))*(1-$E$10)*(1-Premissas!$B$53)</f>
        <v/>
      </c>
      <c r="AG58" s="56">
        <f>-(AE58*Premissas!$B$19+MAX(0,AE58-AE57)*Premissas!$B$24+IF($A58-$D$10&lt;=2,Premissas!$B$41,IF($A58-$D$10&lt;=5,Premissas!$B$42,IF($A58-$D$10&lt;=8,Premissas!$B$43,$G$10)))+IF($A58=1+$D$10,Premissas!$B$47,IF($A58=3+$D$10,Premissas!$B$48,IF($A58=6+$D$10,Premissas!$B$49,0))))</f>
        <v/>
      </c>
      <c r="AH58" s="56">
        <f>AF58+AG58</f>
        <v/>
      </c>
      <c r="AI58" s="56">
        <f>AI57+AH58</f>
        <v/>
      </c>
      <c r="AJ58" s="57">
        <f>IF(AH58&gt;0,$A58,9999)</f>
        <v/>
      </c>
      <c r="AK58" s="57">
        <f>IF(AI58&gt;0,$A58,9999)</f>
        <v/>
      </c>
      <c r="AL58" s="55">
        <f>IF($A58-$D$11&lt;Premissas!$B$31,0,$C$11*(Premissas!$B$28+(Premissas!$B$29-Premissas!$B$28)*$A58/36)/(1+EXP(-Premissas!$B$33*($A58-$D$11-Premissas!$B$32))))</f>
        <v/>
      </c>
      <c r="AM58" s="56">
        <f>(AL58*$B$11+IF($A58&gt;=Premissas!$B$38+$D$11,$F$11,0))*(1-$E$11)*(1-Premissas!$B$53)</f>
        <v/>
      </c>
      <c r="AN58" s="56">
        <f>-(AL58*Premissas!$B$19+MAX(0,AL58-AL57)*Premissas!$B$24+IF($A58-$D$11&lt;=2,Premissas!$B$41,IF($A58-$D$11&lt;=5,Premissas!$B$42,IF($A58-$D$11&lt;=8,Premissas!$B$43,$G$11)))+IF($A58=1+$D$11,Premissas!$B$47,IF($A58=3+$D$11,Premissas!$B$48,IF($A58=6+$D$11,Premissas!$B$49,0))))</f>
        <v/>
      </c>
      <c r="AO58" s="56">
        <f>AM58+AN58</f>
        <v/>
      </c>
      <c r="AP58" s="56">
        <f>AP57+AO58</f>
        <v/>
      </c>
      <c r="AQ58" s="57">
        <f>IF(AO58&gt;0,$A58,9999)</f>
        <v/>
      </c>
      <c r="AR58" s="57">
        <f>IF(AP58&gt;0,$A58,9999)</f>
        <v/>
      </c>
      <c r="AS58" s="55">
        <f>IF($A58-$D$12&lt;Premissas!$B$31,0,$C$12*(Premissas!$B$28+(Premissas!$B$29-Premissas!$B$28)*$A58/36)/(1+EXP(-Premissas!$B$33*($A58-$D$12-Premissas!$B$32))))</f>
        <v/>
      </c>
      <c r="AT58" s="56">
        <f>(AS58*$B$12+IF($A58&gt;=Premissas!$B$38+$D$12,$F$12,0))*(1-$E$12)*(1-Premissas!$B$53)</f>
        <v/>
      </c>
      <c r="AU58" s="56">
        <f>-(AS58*Premissas!$B$19+MAX(0,AS58-AS57)*Premissas!$B$24+IF($A58-$D$12&lt;=2,Premissas!$B$41,IF($A58-$D$12&lt;=5,Premissas!$B$42,IF($A58-$D$12&lt;=8,Premissas!$B$43,$G$12)))+IF($A58=1+$D$12,Premissas!$B$47,IF($A58=3+$D$12,Premissas!$B$48,IF($A58=6+$D$12,Premissas!$B$49,0))))</f>
        <v/>
      </c>
      <c r="AV58" s="56">
        <f>AT58+AU58</f>
        <v/>
      </c>
      <c r="AW58" s="56">
        <f>AW57+AV58</f>
        <v/>
      </c>
      <c r="AX58" s="57">
        <f>IF(AV58&gt;0,$A58,9999)</f>
        <v/>
      </c>
      <c r="AY58" s="57">
        <f>IF(AW58&gt;0,$A58,9999)</f>
        <v/>
      </c>
      <c r="AZ58" s="55">
        <f>IF($A58-$D$13&lt;Premissas!$B$31,0,$C$13*(Premissas!$B$28+(Premissas!$B$29-Premissas!$B$28)*$A58/36)/(1+EXP(-Premissas!$B$33*($A58-$D$13-Premissas!$B$32))))</f>
        <v/>
      </c>
      <c r="BA58" s="56">
        <f>(AZ58*$B$13+IF($A58&gt;=Premissas!$B$38+$D$13,$F$13,0))*(1-$E$13)*(1-Premissas!$B$53)</f>
        <v/>
      </c>
      <c r="BB58" s="56">
        <f>-(AZ58*Premissas!$B$19+MAX(0,AZ58-AZ57)*Premissas!$B$24+IF($A58-$D$13&lt;=2,Premissas!$B$41,IF($A58-$D$13&lt;=5,Premissas!$B$42,IF($A58-$D$13&lt;=8,Premissas!$B$43,$G$13)))+IF($A58=1+$D$13,Premissas!$B$47,IF($A58=3+$D$13,Premissas!$B$48,IF($A58=6+$D$13,Premissas!$B$49,0))))</f>
        <v/>
      </c>
      <c r="BC58" s="56">
        <f>BA58+BB58</f>
        <v/>
      </c>
      <c r="BD58" s="56">
        <f>BD57+BC58</f>
        <v/>
      </c>
      <c r="BE58" s="57">
        <f>IF(BC58&gt;0,$A58,9999)</f>
        <v/>
      </c>
      <c r="BF58" s="57">
        <f>IF(BD58&gt;0,$A58,9999)</f>
        <v/>
      </c>
      <c r="BG58" s="55">
        <f>IF($A58-$D$14&lt;Premissas!$B$31,0,$C$14*(Premissas!$B$28+(Premissas!$B$29-Premissas!$B$28)*$A58/36)/(1+EXP(-Premissas!$B$33*($A58-$D$14-Premissas!$B$32))))</f>
        <v/>
      </c>
      <c r="BH58" s="56">
        <f>(BG58*$B$14+IF($A58&gt;=Premissas!$B$38+$D$14,$F$14,0))*(1-$E$14)*(1-Premissas!$B$53)</f>
        <v/>
      </c>
      <c r="BI58" s="56">
        <f>-(BG58*Premissas!$B$19+MAX(0,BG58-BG57)*Premissas!$B$24+IF($A58-$D$14&lt;=2,Premissas!$B$41,IF($A58-$D$14&lt;=5,Premissas!$B$42,IF($A58-$D$14&lt;=8,Premissas!$B$43,$G$14)))+IF($A58=1+$D$14,Premissas!$B$47,IF($A58=3+$D$14,Premissas!$B$48,IF($A58=6+$D$14,Premissas!$B$49,0))))</f>
        <v/>
      </c>
      <c r="BJ58" s="56">
        <f>BH58+BI58</f>
        <v/>
      </c>
      <c r="BK58" s="56">
        <f>BK57+BJ58</f>
        <v/>
      </c>
      <c r="BL58" s="57">
        <f>IF(BJ58&gt;0,$A58,9999)</f>
        <v/>
      </c>
      <c r="BM58" s="57">
        <f>IF(BK58&gt;0,$A58,9999)</f>
        <v/>
      </c>
      <c r="BN58" s="55">
        <f>IF($A58-$D$15&lt;Premissas!$B$31,0,$C$15*(Premissas!$B$28+(Premissas!$B$29-Premissas!$B$28)*$A58/36)/(1+EXP(-Premissas!$B$33*($A58-$D$15-Premissas!$B$32))))</f>
        <v/>
      </c>
      <c r="BO58" s="56">
        <f>(BN58*$B$15+IF($A58&gt;=Premissas!$B$38+$D$15,$F$15,0))*(1-$E$15)*(1-Premissas!$B$53)</f>
        <v/>
      </c>
      <c r="BP58" s="56">
        <f>-(BN58*Premissas!$B$19+MAX(0,BN58-BN57)*Premissas!$B$24+IF($A58-$D$15&lt;=2,Premissas!$B$41,IF($A58-$D$15&lt;=5,Premissas!$B$42,IF($A58-$D$15&lt;=8,Premissas!$B$43,$G$15)))+IF($A58=1+$D$15,Premissas!$B$47,IF($A58=3+$D$15,Premissas!$B$48,IF($A58=6+$D$15,Premissas!$B$49,0))))</f>
        <v/>
      </c>
      <c r="BQ58" s="56">
        <f>BO58+BP58</f>
        <v/>
      </c>
      <c r="BR58" s="56">
        <f>BR57+BQ58</f>
        <v/>
      </c>
      <c r="BS58" s="57">
        <f>IF(BQ58&gt;0,$A58,9999)</f>
        <v/>
      </c>
      <c r="BT58" s="57">
        <f>IF(BR58&gt;0,$A58,9999)</f>
        <v/>
      </c>
    </row>
    <row r="59">
      <c r="A59" s="12" t="n">
        <v>24</v>
      </c>
      <c r="C59" s="55">
        <f>IF($A59-$D$6&lt;Premissas!$B$31,0,$C$6*(Premissas!$B$28+(Premissas!$B$29-Premissas!$B$28)*$A59/36)/(1+EXP(-Premissas!$B$33*($A59-$D$6-Premissas!$B$32))))</f>
        <v/>
      </c>
      <c r="D59" s="56">
        <f>(C59*$B$6+IF($A59&gt;=Premissas!$B$38+$D$6,$F$6,0))*(1-$E$6)*(1-Premissas!$B$53)</f>
        <v/>
      </c>
      <c r="E59" s="56">
        <f>-(C59*Premissas!$B$19+MAX(0,C59-C58)*Premissas!$B$24+IF($A59-$D$6&lt;=2,Premissas!$B$41,IF($A59-$D$6&lt;=5,Premissas!$B$42,IF($A59-$D$6&lt;=8,Premissas!$B$43,$G$6)))+IF($A59=1+$D$6,Premissas!$B$47,IF($A59=3+$D$6,Premissas!$B$48,IF($A59=6+$D$6,Premissas!$B$49,0))))</f>
        <v/>
      </c>
      <c r="F59" s="56">
        <f>D59+E59</f>
        <v/>
      </c>
      <c r="G59" s="56">
        <f>G58+F59</f>
        <v/>
      </c>
      <c r="H59" s="57">
        <f>IF(F59&gt;0,$A59,9999)</f>
        <v/>
      </c>
      <c r="I59" s="57">
        <f>IF(G59&gt;0,$A59,9999)</f>
        <v/>
      </c>
      <c r="J59" s="55">
        <f>IF($A59-$D$7&lt;Premissas!$B$31,0,$C$7*(Premissas!$B$28+(Premissas!$B$29-Premissas!$B$28)*$A59/36)/(1+EXP(-Premissas!$B$33*($A59-$D$7-Premissas!$B$32))))</f>
        <v/>
      </c>
      <c r="K59" s="56">
        <f>(J59*$B$7+IF($A59&gt;=Premissas!$B$38+$D$7,$F$7,0))*(1-$E$7)*(1-Premissas!$B$53)</f>
        <v/>
      </c>
      <c r="L59" s="56">
        <f>-(J59*Premissas!$B$19+MAX(0,J59-J58)*Premissas!$B$24+IF($A59-$D$7&lt;=2,Premissas!$B$41,IF($A59-$D$7&lt;=5,Premissas!$B$42,IF($A59-$D$7&lt;=8,Premissas!$B$43,$G$7)))+IF($A59=1+$D$7,Premissas!$B$47,IF($A59=3+$D$7,Premissas!$B$48,IF($A59=6+$D$7,Premissas!$B$49,0))))</f>
        <v/>
      </c>
      <c r="M59" s="56">
        <f>K59+L59</f>
        <v/>
      </c>
      <c r="N59" s="56">
        <f>N58+M59</f>
        <v/>
      </c>
      <c r="O59" s="57">
        <f>IF(M59&gt;0,$A59,9999)</f>
        <v/>
      </c>
      <c r="P59" s="57">
        <f>IF(N59&gt;0,$A59,9999)</f>
        <v/>
      </c>
      <c r="Q59" s="55">
        <f>IF($A59-$D$8&lt;Premissas!$B$31,0,$C$8*(Premissas!$B$28+(Premissas!$B$29-Premissas!$B$28)*$A59/36)/(1+EXP(-Premissas!$B$33*($A59-$D$8-Premissas!$B$32))))</f>
        <v/>
      </c>
      <c r="R59" s="56">
        <f>(Q59*$B$8+IF($A59&gt;=Premissas!$B$38+$D$8,$F$8,0))*(1-$E$8)*(1-Premissas!$B$53)</f>
        <v/>
      </c>
      <c r="S59" s="56">
        <f>-(Q59*Premissas!$B$19+MAX(0,Q59-Q58)*Premissas!$B$24+IF($A59-$D$8&lt;=2,Premissas!$B$41,IF($A59-$D$8&lt;=5,Premissas!$B$42,IF($A59-$D$8&lt;=8,Premissas!$B$43,$G$8)))+IF($A59=1+$D$8,Premissas!$B$47,IF($A59=3+$D$8,Premissas!$B$48,IF($A59=6+$D$8,Premissas!$B$49,0))))</f>
        <v/>
      </c>
      <c r="T59" s="56">
        <f>R59+S59</f>
        <v/>
      </c>
      <c r="U59" s="56">
        <f>U58+T59</f>
        <v/>
      </c>
      <c r="V59" s="57">
        <f>IF(T59&gt;0,$A59,9999)</f>
        <v/>
      </c>
      <c r="W59" s="57">
        <f>IF(U59&gt;0,$A59,9999)</f>
        <v/>
      </c>
      <c r="X59" s="55">
        <f>IF($A59-$D$9&lt;Premissas!$B$31,0,$C$9*(Premissas!$B$28+(Premissas!$B$29-Premissas!$B$28)*$A59/36)/(1+EXP(-Premissas!$B$33*($A59-$D$9-Premissas!$B$32))))</f>
        <v/>
      </c>
      <c r="Y59" s="56">
        <f>(X59*$B$9+IF($A59&gt;=Premissas!$B$38+$D$9,$F$9,0))*(1-$E$9)*(1-Premissas!$B$53)</f>
        <v/>
      </c>
      <c r="Z59" s="56">
        <f>-(X59*Premissas!$B$19+MAX(0,X59-X58)*Premissas!$B$24+IF($A59-$D$9&lt;=2,Premissas!$B$41,IF($A59-$D$9&lt;=5,Premissas!$B$42,IF($A59-$D$9&lt;=8,Premissas!$B$43,$G$9)))+IF($A59=1+$D$9,Premissas!$B$47,IF($A59=3+$D$9,Premissas!$B$48,IF($A59=6+$D$9,Premissas!$B$49,0))))</f>
        <v/>
      </c>
      <c r="AA59" s="56">
        <f>Y59+Z59</f>
        <v/>
      </c>
      <c r="AB59" s="56">
        <f>AB58+AA59</f>
        <v/>
      </c>
      <c r="AC59" s="57">
        <f>IF(AA59&gt;0,$A59,9999)</f>
        <v/>
      </c>
      <c r="AD59" s="57">
        <f>IF(AB59&gt;0,$A59,9999)</f>
        <v/>
      </c>
      <c r="AE59" s="55">
        <f>IF($A59-$D$10&lt;Premissas!$B$31,0,$C$10*(Premissas!$B$28+(Premissas!$B$29-Premissas!$B$28)*$A59/36)/(1+EXP(-Premissas!$B$33*($A59-$D$10-Premissas!$B$32))))</f>
        <v/>
      </c>
      <c r="AF59" s="56">
        <f>(AE59*$B$10+IF($A59&gt;=Premissas!$B$38+$D$10,$F$10,0))*(1-$E$10)*(1-Premissas!$B$53)</f>
        <v/>
      </c>
      <c r="AG59" s="56">
        <f>-(AE59*Premissas!$B$19+MAX(0,AE59-AE58)*Premissas!$B$24+IF($A59-$D$10&lt;=2,Premissas!$B$41,IF($A59-$D$10&lt;=5,Premissas!$B$42,IF($A59-$D$10&lt;=8,Premissas!$B$43,$G$10)))+IF($A59=1+$D$10,Premissas!$B$47,IF($A59=3+$D$10,Premissas!$B$48,IF($A59=6+$D$10,Premissas!$B$49,0))))</f>
        <v/>
      </c>
      <c r="AH59" s="56">
        <f>AF59+AG59</f>
        <v/>
      </c>
      <c r="AI59" s="56">
        <f>AI58+AH59</f>
        <v/>
      </c>
      <c r="AJ59" s="57">
        <f>IF(AH59&gt;0,$A59,9999)</f>
        <v/>
      </c>
      <c r="AK59" s="57">
        <f>IF(AI59&gt;0,$A59,9999)</f>
        <v/>
      </c>
      <c r="AL59" s="55">
        <f>IF($A59-$D$11&lt;Premissas!$B$31,0,$C$11*(Premissas!$B$28+(Premissas!$B$29-Premissas!$B$28)*$A59/36)/(1+EXP(-Premissas!$B$33*($A59-$D$11-Premissas!$B$32))))</f>
        <v/>
      </c>
      <c r="AM59" s="56">
        <f>(AL59*$B$11+IF($A59&gt;=Premissas!$B$38+$D$11,$F$11,0))*(1-$E$11)*(1-Premissas!$B$53)</f>
        <v/>
      </c>
      <c r="AN59" s="56">
        <f>-(AL59*Premissas!$B$19+MAX(0,AL59-AL58)*Premissas!$B$24+IF($A59-$D$11&lt;=2,Premissas!$B$41,IF($A59-$D$11&lt;=5,Premissas!$B$42,IF($A59-$D$11&lt;=8,Premissas!$B$43,$G$11)))+IF($A59=1+$D$11,Premissas!$B$47,IF($A59=3+$D$11,Premissas!$B$48,IF($A59=6+$D$11,Premissas!$B$49,0))))</f>
        <v/>
      </c>
      <c r="AO59" s="56">
        <f>AM59+AN59</f>
        <v/>
      </c>
      <c r="AP59" s="56">
        <f>AP58+AO59</f>
        <v/>
      </c>
      <c r="AQ59" s="57">
        <f>IF(AO59&gt;0,$A59,9999)</f>
        <v/>
      </c>
      <c r="AR59" s="57">
        <f>IF(AP59&gt;0,$A59,9999)</f>
        <v/>
      </c>
      <c r="AS59" s="55">
        <f>IF($A59-$D$12&lt;Premissas!$B$31,0,$C$12*(Premissas!$B$28+(Premissas!$B$29-Premissas!$B$28)*$A59/36)/(1+EXP(-Premissas!$B$33*($A59-$D$12-Premissas!$B$32))))</f>
        <v/>
      </c>
      <c r="AT59" s="56">
        <f>(AS59*$B$12+IF($A59&gt;=Premissas!$B$38+$D$12,$F$12,0))*(1-$E$12)*(1-Premissas!$B$53)</f>
        <v/>
      </c>
      <c r="AU59" s="56">
        <f>-(AS59*Premissas!$B$19+MAX(0,AS59-AS58)*Premissas!$B$24+IF($A59-$D$12&lt;=2,Premissas!$B$41,IF($A59-$D$12&lt;=5,Premissas!$B$42,IF($A59-$D$12&lt;=8,Premissas!$B$43,$G$12)))+IF($A59=1+$D$12,Premissas!$B$47,IF($A59=3+$D$12,Premissas!$B$48,IF($A59=6+$D$12,Premissas!$B$49,0))))</f>
        <v/>
      </c>
      <c r="AV59" s="56">
        <f>AT59+AU59</f>
        <v/>
      </c>
      <c r="AW59" s="56">
        <f>AW58+AV59</f>
        <v/>
      </c>
      <c r="AX59" s="57">
        <f>IF(AV59&gt;0,$A59,9999)</f>
        <v/>
      </c>
      <c r="AY59" s="57">
        <f>IF(AW59&gt;0,$A59,9999)</f>
        <v/>
      </c>
      <c r="AZ59" s="55">
        <f>IF($A59-$D$13&lt;Premissas!$B$31,0,$C$13*(Premissas!$B$28+(Premissas!$B$29-Premissas!$B$28)*$A59/36)/(1+EXP(-Premissas!$B$33*($A59-$D$13-Premissas!$B$32))))</f>
        <v/>
      </c>
      <c r="BA59" s="56">
        <f>(AZ59*$B$13+IF($A59&gt;=Premissas!$B$38+$D$13,$F$13,0))*(1-$E$13)*(1-Premissas!$B$53)</f>
        <v/>
      </c>
      <c r="BB59" s="56">
        <f>-(AZ59*Premissas!$B$19+MAX(0,AZ59-AZ58)*Premissas!$B$24+IF($A59-$D$13&lt;=2,Premissas!$B$41,IF($A59-$D$13&lt;=5,Premissas!$B$42,IF($A59-$D$13&lt;=8,Premissas!$B$43,$G$13)))+IF($A59=1+$D$13,Premissas!$B$47,IF($A59=3+$D$13,Premissas!$B$48,IF($A59=6+$D$13,Premissas!$B$49,0))))</f>
        <v/>
      </c>
      <c r="BC59" s="56">
        <f>BA59+BB59</f>
        <v/>
      </c>
      <c r="BD59" s="56">
        <f>BD58+BC59</f>
        <v/>
      </c>
      <c r="BE59" s="57">
        <f>IF(BC59&gt;0,$A59,9999)</f>
        <v/>
      </c>
      <c r="BF59" s="57">
        <f>IF(BD59&gt;0,$A59,9999)</f>
        <v/>
      </c>
      <c r="BG59" s="55">
        <f>IF($A59-$D$14&lt;Premissas!$B$31,0,$C$14*(Premissas!$B$28+(Premissas!$B$29-Premissas!$B$28)*$A59/36)/(1+EXP(-Premissas!$B$33*($A59-$D$14-Premissas!$B$32))))</f>
        <v/>
      </c>
      <c r="BH59" s="56">
        <f>(BG59*$B$14+IF($A59&gt;=Premissas!$B$38+$D$14,$F$14,0))*(1-$E$14)*(1-Premissas!$B$53)</f>
        <v/>
      </c>
      <c r="BI59" s="56">
        <f>-(BG59*Premissas!$B$19+MAX(0,BG59-BG58)*Premissas!$B$24+IF($A59-$D$14&lt;=2,Premissas!$B$41,IF($A59-$D$14&lt;=5,Premissas!$B$42,IF($A59-$D$14&lt;=8,Premissas!$B$43,$G$14)))+IF($A59=1+$D$14,Premissas!$B$47,IF($A59=3+$D$14,Premissas!$B$48,IF($A59=6+$D$14,Premissas!$B$49,0))))</f>
        <v/>
      </c>
      <c r="BJ59" s="56">
        <f>BH59+BI59</f>
        <v/>
      </c>
      <c r="BK59" s="56">
        <f>BK58+BJ59</f>
        <v/>
      </c>
      <c r="BL59" s="57">
        <f>IF(BJ59&gt;0,$A59,9999)</f>
        <v/>
      </c>
      <c r="BM59" s="57">
        <f>IF(BK59&gt;0,$A59,9999)</f>
        <v/>
      </c>
      <c r="BN59" s="55">
        <f>IF($A59-$D$15&lt;Premissas!$B$31,0,$C$15*(Premissas!$B$28+(Premissas!$B$29-Premissas!$B$28)*$A59/36)/(1+EXP(-Premissas!$B$33*($A59-$D$15-Premissas!$B$32))))</f>
        <v/>
      </c>
      <c r="BO59" s="56">
        <f>(BN59*$B$15+IF($A59&gt;=Premissas!$B$38+$D$15,$F$15,0))*(1-$E$15)*(1-Premissas!$B$53)</f>
        <v/>
      </c>
      <c r="BP59" s="56">
        <f>-(BN59*Premissas!$B$19+MAX(0,BN59-BN58)*Premissas!$B$24+IF($A59-$D$15&lt;=2,Premissas!$B$41,IF($A59-$D$15&lt;=5,Premissas!$B$42,IF($A59-$D$15&lt;=8,Premissas!$B$43,$G$15)))+IF($A59=1+$D$15,Premissas!$B$47,IF($A59=3+$D$15,Premissas!$B$48,IF($A59=6+$D$15,Premissas!$B$49,0))))</f>
        <v/>
      </c>
      <c r="BQ59" s="56">
        <f>BO59+BP59</f>
        <v/>
      </c>
      <c r="BR59" s="56">
        <f>BR58+BQ59</f>
        <v/>
      </c>
      <c r="BS59" s="57">
        <f>IF(BQ59&gt;0,$A59,9999)</f>
        <v/>
      </c>
      <c r="BT59" s="57">
        <f>IF(BR59&gt;0,$A59,9999)</f>
        <v/>
      </c>
    </row>
    <row r="60">
      <c r="A60" s="12" t="n">
        <v>25</v>
      </c>
      <c r="C60" s="55">
        <f>IF($A60-$D$6&lt;Premissas!$B$31,0,$C$6*(Premissas!$B$28+(Premissas!$B$29-Premissas!$B$28)*$A60/36)/(1+EXP(-Premissas!$B$33*($A60-$D$6-Premissas!$B$32))))</f>
        <v/>
      </c>
      <c r="D60" s="56">
        <f>(C60*$B$6+IF($A60&gt;=Premissas!$B$38+$D$6,$F$6,0))*(1-$E$6)*(1-Premissas!$B$53)</f>
        <v/>
      </c>
      <c r="E60" s="56">
        <f>-(C60*Premissas!$B$19+MAX(0,C60-C59)*Premissas!$B$24+IF($A60-$D$6&lt;=2,Premissas!$B$41,IF($A60-$D$6&lt;=5,Premissas!$B$42,IF($A60-$D$6&lt;=8,Premissas!$B$43,$G$6)))+IF($A60=1+$D$6,Premissas!$B$47,IF($A60=3+$D$6,Premissas!$B$48,IF($A60=6+$D$6,Premissas!$B$49,0))))</f>
        <v/>
      </c>
      <c r="F60" s="56">
        <f>D60+E60</f>
        <v/>
      </c>
      <c r="G60" s="56">
        <f>G59+F60</f>
        <v/>
      </c>
      <c r="H60" s="57">
        <f>IF(F60&gt;0,$A60,9999)</f>
        <v/>
      </c>
      <c r="I60" s="57">
        <f>IF(G60&gt;0,$A60,9999)</f>
        <v/>
      </c>
      <c r="J60" s="55">
        <f>IF($A60-$D$7&lt;Premissas!$B$31,0,$C$7*(Premissas!$B$28+(Premissas!$B$29-Premissas!$B$28)*$A60/36)/(1+EXP(-Premissas!$B$33*($A60-$D$7-Premissas!$B$32))))</f>
        <v/>
      </c>
      <c r="K60" s="56">
        <f>(J60*$B$7+IF($A60&gt;=Premissas!$B$38+$D$7,$F$7,0))*(1-$E$7)*(1-Premissas!$B$53)</f>
        <v/>
      </c>
      <c r="L60" s="56">
        <f>-(J60*Premissas!$B$19+MAX(0,J60-J59)*Premissas!$B$24+IF($A60-$D$7&lt;=2,Premissas!$B$41,IF($A60-$D$7&lt;=5,Premissas!$B$42,IF($A60-$D$7&lt;=8,Premissas!$B$43,$G$7)))+IF($A60=1+$D$7,Premissas!$B$47,IF($A60=3+$D$7,Premissas!$B$48,IF($A60=6+$D$7,Premissas!$B$49,0))))</f>
        <v/>
      </c>
      <c r="M60" s="56">
        <f>K60+L60</f>
        <v/>
      </c>
      <c r="N60" s="56">
        <f>N59+M60</f>
        <v/>
      </c>
      <c r="O60" s="57">
        <f>IF(M60&gt;0,$A60,9999)</f>
        <v/>
      </c>
      <c r="P60" s="57">
        <f>IF(N60&gt;0,$A60,9999)</f>
        <v/>
      </c>
      <c r="Q60" s="55">
        <f>IF($A60-$D$8&lt;Premissas!$B$31,0,$C$8*(Premissas!$B$28+(Premissas!$B$29-Premissas!$B$28)*$A60/36)/(1+EXP(-Premissas!$B$33*($A60-$D$8-Premissas!$B$32))))</f>
        <v/>
      </c>
      <c r="R60" s="56">
        <f>(Q60*$B$8+IF($A60&gt;=Premissas!$B$38+$D$8,$F$8,0))*(1-$E$8)*(1-Premissas!$B$53)</f>
        <v/>
      </c>
      <c r="S60" s="56">
        <f>-(Q60*Premissas!$B$19+MAX(0,Q60-Q59)*Premissas!$B$24+IF($A60-$D$8&lt;=2,Premissas!$B$41,IF($A60-$D$8&lt;=5,Premissas!$B$42,IF($A60-$D$8&lt;=8,Premissas!$B$43,$G$8)))+IF($A60=1+$D$8,Premissas!$B$47,IF($A60=3+$D$8,Premissas!$B$48,IF($A60=6+$D$8,Premissas!$B$49,0))))</f>
        <v/>
      </c>
      <c r="T60" s="56">
        <f>R60+S60</f>
        <v/>
      </c>
      <c r="U60" s="56">
        <f>U59+T60</f>
        <v/>
      </c>
      <c r="V60" s="57">
        <f>IF(T60&gt;0,$A60,9999)</f>
        <v/>
      </c>
      <c r="W60" s="57">
        <f>IF(U60&gt;0,$A60,9999)</f>
        <v/>
      </c>
      <c r="X60" s="55">
        <f>IF($A60-$D$9&lt;Premissas!$B$31,0,$C$9*(Premissas!$B$28+(Premissas!$B$29-Premissas!$B$28)*$A60/36)/(1+EXP(-Premissas!$B$33*($A60-$D$9-Premissas!$B$32))))</f>
        <v/>
      </c>
      <c r="Y60" s="56">
        <f>(X60*$B$9+IF($A60&gt;=Premissas!$B$38+$D$9,$F$9,0))*(1-$E$9)*(1-Premissas!$B$53)</f>
        <v/>
      </c>
      <c r="Z60" s="56">
        <f>-(X60*Premissas!$B$19+MAX(0,X60-X59)*Premissas!$B$24+IF($A60-$D$9&lt;=2,Premissas!$B$41,IF($A60-$D$9&lt;=5,Premissas!$B$42,IF($A60-$D$9&lt;=8,Premissas!$B$43,$G$9)))+IF($A60=1+$D$9,Premissas!$B$47,IF($A60=3+$D$9,Premissas!$B$48,IF($A60=6+$D$9,Premissas!$B$49,0))))</f>
        <v/>
      </c>
      <c r="AA60" s="56">
        <f>Y60+Z60</f>
        <v/>
      </c>
      <c r="AB60" s="56">
        <f>AB59+AA60</f>
        <v/>
      </c>
      <c r="AC60" s="57">
        <f>IF(AA60&gt;0,$A60,9999)</f>
        <v/>
      </c>
      <c r="AD60" s="57">
        <f>IF(AB60&gt;0,$A60,9999)</f>
        <v/>
      </c>
      <c r="AE60" s="55">
        <f>IF($A60-$D$10&lt;Premissas!$B$31,0,$C$10*(Premissas!$B$28+(Premissas!$B$29-Premissas!$B$28)*$A60/36)/(1+EXP(-Premissas!$B$33*($A60-$D$10-Premissas!$B$32))))</f>
        <v/>
      </c>
      <c r="AF60" s="56">
        <f>(AE60*$B$10+IF($A60&gt;=Premissas!$B$38+$D$10,$F$10,0))*(1-$E$10)*(1-Premissas!$B$53)</f>
        <v/>
      </c>
      <c r="AG60" s="56">
        <f>-(AE60*Premissas!$B$19+MAX(0,AE60-AE59)*Premissas!$B$24+IF($A60-$D$10&lt;=2,Premissas!$B$41,IF($A60-$D$10&lt;=5,Premissas!$B$42,IF($A60-$D$10&lt;=8,Premissas!$B$43,$G$10)))+IF($A60=1+$D$10,Premissas!$B$47,IF($A60=3+$D$10,Premissas!$B$48,IF($A60=6+$D$10,Premissas!$B$49,0))))</f>
        <v/>
      </c>
      <c r="AH60" s="56">
        <f>AF60+AG60</f>
        <v/>
      </c>
      <c r="AI60" s="56">
        <f>AI59+AH60</f>
        <v/>
      </c>
      <c r="AJ60" s="57">
        <f>IF(AH60&gt;0,$A60,9999)</f>
        <v/>
      </c>
      <c r="AK60" s="57">
        <f>IF(AI60&gt;0,$A60,9999)</f>
        <v/>
      </c>
      <c r="AL60" s="55">
        <f>IF($A60-$D$11&lt;Premissas!$B$31,0,$C$11*(Premissas!$B$28+(Premissas!$B$29-Premissas!$B$28)*$A60/36)/(1+EXP(-Premissas!$B$33*($A60-$D$11-Premissas!$B$32))))</f>
        <v/>
      </c>
      <c r="AM60" s="56">
        <f>(AL60*$B$11+IF($A60&gt;=Premissas!$B$38+$D$11,$F$11,0))*(1-$E$11)*(1-Premissas!$B$53)</f>
        <v/>
      </c>
      <c r="AN60" s="56">
        <f>-(AL60*Premissas!$B$19+MAX(0,AL60-AL59)*Premissas!$B$24+IF($A60-$D$11&lt;=2,Premissas!$B$41,IF($A60-$D$11&lt;=5,Premissas!$B$42,IF($A60-$D$11&lt;=8,Premissas!$B$43,$G$11)))+IF($A60=1+$D$11,Premissas!$B$47,IF($A60=3+$D$11,Premissas!$B$48,IF($A60=6+$D$11,Premissas!$B$49,0))))</f>
        <v/>
      </c>
      <c r="AO60" s="56">
        <f>AM60+AN60</f>
        <v/>
      </c>
      <c r="AP60" s="56">
        <f>AP59+AO60</f>
        <v/>
      </c>
      <c r="AQ60" s="57">
        <f>IF(AO60&gt;0,$A60,9999)</f>
        <v/>
      </c>
      <c r="AR60" s="57">
        <f>IF(AP60&gt;0,$A60,9999)</f>
        <v/>
      </c>
      <c r="AS60" s="55">
        <f>IF($A60-$D$12&lt;Premissas!$B$31,0,$C$12*(Premissas!$B$28+(Premissas!$B$29-Premissas!$B$28)*$A60/36)/(1+EXP(-Premissas!$B$33*($A60-$D$12-Premissas!$B$32))))</f>
        <v/>
      </c>
      <c r="AT60" s="56">
        <f>(AS60*$B$12+IF($A60&gt;=Premissas!$B$38+$D$12,$F$12,0))*(1-$E$12)*(1-Premissas!$B$53)</f>
        <v/>
      </c>
      <c r="AU60" s="56">
        <f>-(AS60*Premissas!$B$19+MAX(0,AS60-AS59)*Premissas!$B$24+IF($A60-$D$12&lt;=2,Premissas!$B$41,IF($A60-$D$12&lt;=5,Premissas!$B$42,IF($A60-$D$12&lt;=8,Premissas!$B$43,$G$12)))+IF($A60=1+$D$12,Premissas!$B$47,IF($A60=3+$D$12,Premissas!$B$48,IF($A60=6+$D$12,Premissas!$B$49,0))))</f>
        <v/>
      </c>
      <c r="AV60" s="56">
        <f>AT60+AU60</f>
        <v/>
      </c>
      <c r="AW60" s="56">
        <f>AW59+AV60</f>
        <v/>
      </c>
      <c r="AX60" s="57">
        <f>IF(AV60&gt;0,$A60,9999)</f>
        <v/>
      </c>
      <c r="AY60" s="57">
        <f>IF(AW60&gt;0,$A60,9999)</f>
        <v/>
      </c>
      <c r="AZ60" s="55">
        <f>IF($A60-$D$13&lt;Premissas!$B$31,0,$C$13*(Premissas!$B$28+(Premissas!$B$29-Premissas!$B$28)*$A60/36)/(1+EXP(-Premissas!$B$33*($A60-$D$13-Premissas!$B$32))))</f>
        <v/>
      </c>
      <c r="BA60" s="56">
        <f>(AZ60*$B$13+IF($A60&gt;=Premissas!$B$38+$D$13,$F$13,0))*(1-$E$13)*(1-Premissas!$B$53)</f>
        <v/>
      </c>
      <c r="BB60" s="56">
        <f>-(AZ60*Premissas!$B$19+MAX(0,AZ60-AZ59)*Premissas!$B$24+IF($A60-$D$13&lt;=2,Premissas!$B$41,IF($A60-$D$13&lt;=5,Premissas!$B$42,IF($A60-$D$13&lt;=8,Premissas!$B$43,$G$13)))+IF($A60=1+$D$13,Premissas!$B$47,IF($A60=3+$D$13,Premissas!$B$48,IF($A60=6+$D$13,Premissas!$B$49,0))))</f>
        <v/>
      </c>
      <c r="BC60" s="56">
        <f>BA60+BB60</f>
        <v/>
      </c>
      <c r="BD60" s="56">
        <f>BD59+BC60</f>
        <v/>
      </c>
      <c r="BE60" s="57">
        <f>IF(BC60&gt;0,$A60,9999)</f>
        <v/>
      </c>
      <c r="BF60" s="57">
        <f>IF(BD60&gt;0,$A60,9999)</f>
        <v/>
      </c>
      <c r="BG60" s="55">
        <f>IF($A60-$D$14&lt;Premissas!$B$31,0,$C$14*(Premissas!$B$28+(Premissas!$B$29-Premissas!$B$28)*$A60/36)/(1+EXP(-Premissas!$B$33*($A60-$D$14-Premissas!$B$32))))</f>
        <v/>
      </c>
      <c r="BH60" s="56">
        <f>(BG60*$B$14+IF($A60&gt;=Premissas!$B$38+$D$14,$F$14,0))*(1-$E$14)*(1-Premissas!$B$53)</f>
        <v/>
      </c>
      <c r="BI60" s="56">
        <f>-(BG60*Premissas!$B$19+MAX(0,BG60-BG59)*Premissas!$B$24+IF($A60-$D$14&lt;=2,Premissas!$B$41,IF($A60-$D$14&lt;=5,Premissas!$B$42,IF($A60-$D$14&lt;=8,Premissas!$B$43,$G$14)))+IF($A60=1+$D$14,Premissas!$B$47,IF($A60=3+$D$14,Premissas!$B$48,IF($A60=6+$D$14,Premissas!$B$49,0))))</f>
        <v/>
      </c>
      <c r="BJ60" s="56">
        <f>BH60+BI60</f>
        <v/>
      </c>
      <c r="BK60" s="56">
        <f>BK59+BJ60</f>
        <v/>
      </c>
      <c r="BL60" s="57">
        <f>IF(BJ60&gt;0,$A60,9999)</f>
        <v/>
      </c>
      <c r="BM60" s="57">
        <f>IF(BK60&gt;0,$A60,9999)</f>
        <v/>
      </c>
      <c r="BN60" s="55">
        <f>IF($A60-$D$15&lt;Premissas!$B$31,0,$C$15*(Premissas!$B$28+(Premissas!$B$29-Premissas!$B$28)*$A60/36)/(1+EXP(-Premissas!$B$33*($A60-$D$15-Premissas!$B$32))))</f>
        <v/>
      </c>
      <c r="BO60" s="56">
        <f>(BN60*$B$15+IF($A60&gt;=Premissas!$B$38+$D$15,$F$15,0))*(1-$E$15)*(1-Premissas!$B$53)</f>
        <v/>
      </c>
      <c r="BP60" s="56">
        <f>-(BN60*Premissas!$B$19+MAX(0,BN60-BN59)*Premissas!$B$24+IF($A60-$D$15&lt;=2,Premissas!$B$41,IF($A60-$D$15&lt;=5,Premissas!$B$42,IF($A60-$D$15&lt;=8,Premissas!$B$43,$G$15)))+IF($A60=1+$D$15,Premissas!$B$47,IF($A60=3+$D$15,Premissas!$B$48,IF($A60=6+$D$15,Premissas!$B$49,0))))</f>
        <v/>
      </c>
      <c r="BQ60" s="56">
        <f>BO60+BP60</f>
        <v/>
      </c>
      <c r="BR60" s="56">
        <f>BR59+BQ60</f>
        <v/>
      </c>
      <c r="BS60" s="57">
        <f>IF(BQ60&gt;0,$A60,9999)</f>
        <v/>
      </c>
      <c r="BT60" s="57">
        <f>IF(BR60&gt;0,$A60,9999)</f>
        <v/>
      </c>
    </row>
    <row r="61">
      <c r="A61" s="12" t="n">
        <v>26</v>
      </c>
      <c r="C61" s="55">
        <f>IF($A61-$D$6&lt;Premissas!$B$31,0,$C$6*(Premissas!$B$28+(Premissas!$B$29-Premissas!$B$28)*$A61/36)/(1+EXP(-Premissas!$B$33*($A61-$D$6-Premissas!$B$32))))</f>
        <v/>
      </c>
      <c r="D61" s="56">
        <f>(C61*$B$6+IF($A61&gt;=Premissas!$B$38+$D$6,$F$6,0))*(1-$E$6)*(1-Premissas!$B$53)</f>
        <v/>
      </c>
      <c r="E61" s="56">
        <f>-(C61*Premissas!$B$19+MAX(0,C61-C60)*Premissas!$B$24+IF($A61-$D$6&lt;=2,Premissas!$B$41,IF($A61-$D$6&lt;=5,Premissas!$B$42,IF($A61-$D$6&lt;=8,Premissas!$B$43,$G$6)))+IF($A61=1+$D$6,Premissas!$B$47,IF($A61=3+$D$6,Premissas!$B$48,IF($A61=6+$D$6,Premissas!$B$49,0))))</f>
        <v/>
      </c>
      <c r="F61" s="56">
        <f>D61+E61</f>
        <v/>
      </c>
      <c r="G61" s="56">
        <f>G60+F61</f>
        <v/>
      </c>
      <c r="H61" s="57">
        <f>IF(F61&gt;0,$A61,9999)</f>
        <v/>
      </c>
      <c r="I61" s="57">
        <f>IF(G61&gt;0,$A61,9999)</f>
        <v/>
      </c>
      <c r="J61" s="55">
        <f>IF($A61-$D$7&lt;Premissas!$B$31,0,$C$7*(Premissas!$B$28+(Premissas!$B$29-Premissas!$B$28)*$A61/36)/(1+EXP(-Premissas!$B$33*($A61-$D$7-Premissas!$B$32))))</f>
        <v/>
      </c>
      <c r="K61" s="56">
        <f>(J61*$B$7+IF($A61&gt;=Premissas!$B$38+$D$7,$F$7,0))*(1-$E$7)*(1-Premissas!$B$53)</f>
        <v/>
      </c>
      <c r="L61" s="56">
        <f>-(J61*Premissas!$B$19+MAX(0,J61-J60)*Premissas!$B$24+IF($A61-$D$7&lt;=2,Premissas!$B$41,IF($A61-$D$7&lt;=5,Premissas!$B$42,IF($A61-$D$7&lt;=8,Premissas!$B$43,$G$7)))+IF($A61=1+$D$7,Premissas!$B$47,IF($A61=3+$D$7,Premissas!$B$48,IF($A61=6+$D$7,Premissas!$B$49,0))))</f>
        <v/>
      </c>
      <c r="M61" s="56">
        <f>K61+L61</f>
        <v/>
      </c>
      <c r="N61" s="56">
        <f>N60+M61</f>
        <v/>
      </c>
      <c r="O61" s="57">
        <f>IF(M61&gt;0,$A61,9999)</f>
        <v/>
      </c>
      <c r="P61" s="57">
        <f>IF(N61&gt;0,$A61,9999)</f>
        <v/>
      </c>
      <c r="Q61" s="55">
        <f>IF($A61-$D$8&lt;Premissas!$B$31,0,$C$8*(Premissas!$B$28+(Premissas!$B$29-Premissas!$B$28)*$A61/36)/(1+EXP(-Premissas!$B$33*($A61-$D$8-Premissas!$B$32))))</f>
        <v/>
      </c>
      <c r="R61" s="56">
        <f>(Q61*$B$8+IF($A61&gt;=Premissas!$B$38+$D$8,$F$8,0))*(1-$E$8)*(1-Premissas!$B$53)</f>
        <v/>
      </c>
      <c r="S61" s="56">
        <f>-(Q61*Premissas!$B$19+MAX(0,Q61-Q60)*Premissas!$B$24+IF($A61-$D$8&lt;=2,Premissas!$B$41,IF($A61-$D$8&lt;=5,Premissas!$B$42,IF($A61-$D$8&lt;=8,Premissas!$B$43,$G$8)))+IF($A61=1+$D$8,Premissas!$B$47,IF($A61=3+$D$8,Premissas!$B$48,IF($A61=6+$D$8,Premissas!$B$49,0))))</f>
        <v/>
      </c>
      <c r="T61" s="56">
        <f>R61+S61</f>
        <v/>
      </c>
      <c r="U61" s="56">
        <f>U60+T61</f>
        <v/>
      </c>
      <c r="V61" s="57">
        <f>IF(T61&gt;0,$A61,9999)</f>
        <v/>
      </c>
      <c r="W61" s="57">
        <f>IF(U61&gt;0,$A61,9999)</f>
        <v/>
      </c>
      <c r="X61" s="55">
        <f>IF($A61-$D$9&lt;Premissas!$B$31,0,$C$9*(Premissas!$B$28+(Premissas!$B$29-Premissas!$B$28)*$A61/36)/(1+EXP(-Premissas!$B$33*($A61-$D$9-Premissas!$B$32))))</f>
        <v/>
      </c>
      <c r="Y61" s="56">
        <f>(X61*$B$9+IF($A61&gt;=Premissas!$B$38+$D$9,$F$9,0))*(1-$E$9)*(1-Premissas!$B$53)</f>
        <v/>
      </c>
      <c r="Z61" s="56">
        <f>-(X61*Premissas!$B$19+MAX(0,X61-X60)*Premissas!$B$24+IF($A61-$D$9&lt;=2,Premissas!$B$41,IF($A61-$D$9&lt;=5,Premissas!$B$42,IF($A61-$D$9&lt;=8,Premissas!$B$43,$G$9)))+IF($A61=1+$D$9,Premissas!$B$47,IF($A61=3+$D$9,Premissas!$B$48,IF($A61=6+$D$9,Premissas!$B$49,0))))</f>
        <v/>
      </c>
      <c r="AA61" s="56">
        <f>Y61+Z61</f>
        <v/>
      </c>
      <c r="AB61" s="56">
        <f>AB60+AA61</f>
        <v/>
      </c>
      <c r="AC61" s="57">
        <f>IF(AA61&gt;0,$A61,9999)</f>
        <v/>
      </c>
      <c r="AD61" s="57">
        <f>IF(AB61&gt;0,$A61,9999)</f>
        <v/>
      </c>
      <c r="AE61" s="55">
        <f>IF($A61-$D$10&lt;Premissas!$B$31,0,$C$10*(Premissas!$B$28+(Premissas!$B$29-Premissas!$B$28)*$A61/36)/(1+EXP(-Premissas!$B$33*($A61-$D$10-Premissas!$B$32))))</f>
        <v/>
      </c>
      <c r="AF61" s="56">
        <f>(AE61*$B$10+IF($A61&gt;=Premissas!$B$38+$D$10,$F$10,0))*(1-$E$10)*(1-Premissas!$B$53)</f>
        <v/>
      </c>
      <c r="AG61" s="56">
        <f>-(AE61*Premissas!$B$19+MAX(0,AE61-AE60)*Premissas!$B$24+IF($A61-$D$10&lt;=2,Premissas!$B$41,IF($A61-$D$10&lt;=5,Premissas!$B$42,IF($A61-$D$10&lt;=8,Premissas!$B$43,$G$10)))+IF($A61=1+$D$10,Premissas!$B$47,IF($A61=3+$D$10,Premissas!$B$48,IF($A61=6+$D$10,Premissas!$B$49,0))))</f>
        <v/>
      </c>
      <c r="AH61" s="56">
        <f>AF61+AG61</f>
        <v/>
      </c>
      <c r="AI61" s="56">
        <f>AI60+AH61</f>
        <v/>
      </c>
      <c r="AJ61" s="57">
        <f>IF(AH61&gt;0,$A61,9999)</f>
        <v/>
      </c>
      <c r="AK61" s="57">
        <f>IF(AI61&gt;0,$A61,9999)</f>
        <v/>
      </c>
      <c r="AL61" s="55">
        <f>IF($A61-$D$11&lt;Premissas!$B$31,0,$C$11*(Premissas!$B$28+(Premissas!$B$29-Premissas!$B$28)*$A61/36)/(1+EXP(-Premissas!$B$33*($A61-$D$11-Premissas!$B$32))))</f>
        <v/>
      </c>
      <c r="AM61" s="56">
        <f>(AL61*$B$11+IF($A61&gt;=Premissas!$B$38+$D$11,$F$11,0))*(1-$E$11)*(1-Premissas!$B$53)</f>
        <v/>
      </c>
      <c r="AN61" s="56">
        <f>-(AL61*Premissas!$B$19+MAX(0,AL61-AL60)*Premissas!$B$24+IF($A61-$D$11&lt;=2,Premissas!$B$41,IF($A61-$D$11&lt;=5,Premissas!$B$42,IF($A61-$D$11&lt;=8,Premissas!$B$43,$G$11)))+IF($A61=1+$D$11,Premissas!$B$47,IF($A61=3+$D$11,Premissas!$B$48,IF($A61=6+$D$11,Premissas!$B$49,0))))</f>
        <v/>
      </c>
      <c r="AO61" s="56">
        <f>AM61+AN61</f>
        <v/>
      </c>
      <c r="AP61" s="56">
        <f>AP60+AO61</f>
        <v/>
      </c>
      <c r="AQ61" s="57">
        <f>IF(AO61&gt;0,$A61,9999)</f>
        <v/>
      </c>
      <c r="AR61" s="57">
        <f>IF(AP61&gt;0,$A61,9999)</f>
        <v/>
      </c>
      <c r="AS61" s="55">
        <f>IF($A61-$D$12&lt;Premissas!$B$31,0,$C$12*(Premissas!$B$28+(Premissas!$B$29-Premissas!$B$28)*$A61/36)/(1+EXP(-Premissas!$B$33*($A61-$D$12-Premissas!$B$32))))</f>
        <v/>
      </c>
      <c r="AT61" s="56">
        <f>(AS61*$B$12+IF($A61&gt;=Premissas!$B$38+$D$12,$F$12,0))*(1-$E$12)*(1-Premissas!$B$53)</f>
        <v/>
      </c>
      <c r="AU61" s="56">
        <f>-(AS61*Premissas!$B$19+MAX(0,AS61-AS60)*Premissas!$B$24+IF($A61-$D$12&lt;=2,Premissas!$B$41,IF($A61-$D$12&lt;=5,Premissas!$B$42,IF($A61-$D$12&lt;=8,Premissas!$B$43,$G$12)))+IF($A61=1+$D$12,Premissas!$B$47,IF($A61=3+$D$12,Premissas!$B$48,IF($A61=6+$D$12,Premissas!$B$49,0))))</f>
        <v/>
      </c>
      <c r="AV61" s="56">
        <f>AT61+AU61</f>
        <v/>
      </c>
      <c r="AW61" s="56">
        <f>AW60+AV61</f>
        <v/>
      </c>
      <c r="AX61" s="57">
        <f>IF(AV61&gt;0,$A61,9999)</f>
        <v/>
      </c>
      <c r="AY61" s="57">
        <f>IF(AW61&gt;0,$A61,9999)</f>
        <v/>
      </c>
      <c r="AZ61" s="55">
        <f>IF($A61-$D$13&lt;Premissas!$B$31,0,$C$13*(Premissas!$B$28+(Premissas!$B$29-Premissas!$B$28)*$A61/36)/(1+EXP(-Premissas!$B$33*($A61-$D$13-Premissas!$B$32))))</f>
        <v/>
      </c>
      <c r="BA61" s="56">
        <f>(AZ61*$B$13+IF($A61&gt;=Premissas!$B$38+$D$13,$F$13,0))*(1-$E$13)*(1-Premissas!$B$53)</f>
        <v/>
      </c>
      <c r="BB61" s="56">
        <f>-(AZ61*Premissas!$B$19+MAX(0,AZ61-AZ60)*Premissas!$B$24+IF($A61-$D$13&lt;=2,Premissas!$B$41,IF($A61-$D$13&lt;=5,Premissas!$B$42,IF($A61-$D$13&lt;=8,Premissas!$B$43,$G$13)))+IF($A61=1+$D$13,Premissas!$B$47,IF($A61=3+$D$13,Premissas!$B$48,IF($A61=6+$D$13,Premissas!$B$49,0))))</f>
        <v/>
      </c>
      <c r="BC61" s="56">
        <f>BA61+BB61</f>
        <v/>
      </c>
      <c r="BD61" s="56">
        <f>BD60+BC61</f>
        <v/>
      </c>
      <c r="BE61" s="57">
        <f>IF(BC61&gt;0,$A61,9999)</f>
        <v/>
      </c>
      <c r="BF61" s="57">
        <f>IF(BD61&gt;0,$A61,9999)</f>
        <v/>
      </c>
      <c r="BG61" s="55">
        <f>IF($A61-$D$14&lt;Premissas!$B$31,0,$C$14*(Premissas!$B$28+(Premissas!$B$29-Premissas!$B$28)*$A61/36)/(1+EXP(-Premissas!$B$33*($A61-$D$14-Premissas!$B$32))))</f>
        <v/>
      </c>
      <c r="BH61" s="56">
        <f>(BG61*$B$14+IF($A61&gt;=Premissas!$B$38+$D$14,$F$14,0))*(1-$E$14)*(1-Premissas!$B$53)</f>
        <v/>
      </c>
      <c r="BI61" s="56">
        <f>-(BG61*Premissas!$B$19+MAX(0,BG61-BG60)*Premissas!$B$24+IF($A61-$D$14&lt;=2,Premissas!$B$41,IF($A61-$D$14&lt;=5,Premissas!$B$42,IF($A61-$D$14&lt;=8,Premissas!$B$43,$G$14)))+IF($A61=1+$D$14,Premissas!$B$47,IF($A61=3+$D$14,Premissas!$B$48,IF($A61=6+$D$14,Premissas!$B$49,0))))</f>
        <v/>
      </c>
      <c r="BJ61" s="56">
        <f>BH61+BI61</f>
        <v/>
      </c>
      <c r="BK61" s="56">
        <f>BK60+BJ61</f>
        <v/>
      </c>
      <c r="BL61" s="57">
        <f>IF(BJ61&gt;0,$A61,9999)</f>
        <v/>
      </c>
      <c r="BM61" s="57">
        <f>IF(BK61&gt;0,$A61,9999)</f>
        <v/>
      </c>
      <c r="BN61" s="55">
        <f>IF($A61-$D$15&lt;Premissas!$B$31,0,$C$15*(Premissas!$B$28+(Premissas!$B$29-Premissas!$B$28)*$A61/36)/(1+EXP(-Premissas!$B$33*($A61-$D$15-Premissas!$B$32))))</f>
        <v/>
      </c>
      <c r="BO61" s="56">
        <f>(BN61*$B$15+IF($A61&gt;=Premissas!$B$38+$D$15,$F$15,0))*(1-$E$15)*(1-Premissas!$B$53)</f>
        <v/>
      </c>
      <c r="BP61" s="56">
        <f>-(BN61*Premissas!$B$19+MAX(0,BN61-BN60)*Premissas!$B$24+IF($A61-$D$15&lt;=2,Premissas!$B$41,IF($A61-$D$15&lt;=5,Premissas!$B$42,IF($A61-$D$15&lt;=8,Premissas!$B$43,$G$15)))+IF($A61=1+$D$15,Premissas!$B$47,IF($A61=3+$D$15,Premissas!$B$48,IF($A61=6+$D$15,Premissas!$B$49,0))))</f>
        <v/>
      </c>
      <c r="BQ61" s="56">
        <f>BO61+BP61</f>
        <v/>
      </c>
      <c r="BR61" s="56">
        <f>BR60+BQ61</f>
        <v/>
      </c>
      <c r="BS61" s="57">
        <f>IF(BQ61&gt;0,$A61,9999)</f>
        <v/>
      </c>
      <c r="BT61" s="57">
        <f>IF(BR61&gt;0,$A61,9999)</f>
        <v/>
      </c>
    </row>
    <row r="62">
      <c r="A62" s="12" t="n">
        <v>27</v>
      </c>
      <c r="C62" s="55">
        <f>IF($A62-$D$6&lt;Premissas!$B$31,0,$C$6*(Premissas!$B$28+(Premissas!$B$29-Premissas!$B$28)*$A62/36)/(1+EXP(-Premissas!$B$33*($A62-$D$6-Premissas!$B$32))))</f>
        <v/>
      </c>
      <c r="D62" s="56">
        <f>(C62*$B$6+IF($A62&gt;=Premissas!$B$38+$D$6,$F$6,0))*(1-$E$6)*(1-Premissas!$B$53)</f>
        <v/>
      </c>
      <c r="E62" s="56">
        <f>-(C62*Premissas!$B$19+MAX(0,C62-C61)*Premissas!$B$24+IF($A62-$D$6&lt;=2,Premissas!$B$41,IF($A62-$D$6&lt;=5,Premissas!$B$42,IF($A62-$D$6&lt;=8,Premissas!$B$43,$G$6)))+IF($A62=1+$D$6,Premissas!$B$47,IF($A62=3+$D$6,Premissas!$B$48,IF($A62=6+$D$6,Premissas!$B$49,0))))</f>
        <v/>
      </c>
      <c r="F62" s="56">
        <f>D62+E62</f>
        <v/>
      </c>
      <c r="G62" s="56">
        <f>G61+F62</f>
        <v/>
      </c>
      <c r="H62" s="57">
        <f>IF(F62&gt;0,$A62,9999)</f>
        <v/>
      </c>
      <c r="I62" s="57">
        <f>IF(G62&gt;0,$A62,9999)</f>
        <v/>
      </c>
      <c r="J62" s="55">
        <f>IF($A62-$D$7&lt;Premissas!$B$31,0,$C$7*(Premissas!$B$28+(Premissas!$B$29-Premissas!$B$28)*$A62/36)/(1+EXP(-Premissas!$B$33*($A62-$D$7-Premissas!$B$32))))</f>
        <v/>
      </c>
      <c r="K62" s="56">
        <f>(J62*$B$7+IF($A62&gt;=Premissas!$B$38+$D$7,$F$7,0))*(1-$E$7)*(1-Premissas!$B$53)</f>
        <v/>
      </c>
      <c r="L62" s="56">
        <f>-(J62*Premissas!$B$19+MAX(0,J62-J61)*Premissas!$B$24+IF($A62-$D$7&lt;=2,Premissas!$B$41,IF($A62-$D$7&lt;=5,Premissas!$B$42,IF($A62-$D$7&lt;=8,Premissas!$B$43,$G$7)))+IF($A62=1+$D$7,Premissas!$B$47,IF($A62=3+$D$7,Premissas!$B$48,IF($A62=6+$D$7,Premissas!$B$49,0))))</f>
        <v/>
      </c>
      <c r="M62" s="56">
        <f>K62+L62</f>
        <v/>
      </c>
      <c r="N62" s="56">
        <f>N61+M62</f>
        <v/>
      </c>
      <c r="O62" s="57">
        <f>IF(M62&gt;0,$A62,9999)</f>
        <v/>
      </c>
      <c r="P62" s="57">
        <f>IF(N62&gt;0,$A62,9999)</f>
        <v/>
      </c>
      <c r="Q62" s="55">
        <f>IF($A62-$D$8&lt;Premissas!$B$31,0,$C$8*(Premissas!$B$28+(Premissas!$B$29-Premissas!$B$28)*$A62/36)/(1+EXP(-Premissas!$B$33*($A62-$D$8-Premissas!$B$32))))</f>
        <v/>
      </c>
      <c r="R62" s="56">
        <f>(Q62*$B$8+IF($A62&gt;=Premissas!$B$38+$D$8,$F$8,0))*(1-$E$8)*(1-Premissas!$B$53)</f>
        <v/>
      </c>
      <c r="S62" s="56">
        <f>-(Q62*Premissas!$B$19+MAX(0,Q62-Q61)*Premissas!$B$24+IF($A62-$D$8&lt;=2,Premissas!$B$41,IF($A62-$D$8&lt;=5,Premissas!$B$42,IF($A62-$D$8&lt;=8,Premissas!$B$43,$G$8)))+IF($A62=1+$D$8,Premissas!$B$47,IF($A62=3+$D$8,Premissas!$B$48,IF($A62=6+$D$8,Premissas!$B$49,0))))</f>
        <v/>
      </c>
      <c r="T62" s="56">
        <f>R62+S62</f>
        <v/>
      </c>
      <c r="U62" s="56">
        <f>U61+T62</f>
        <v/>
      </c>
      <c r="V62" s="57">
        <f>IF(T62&gt;0,$A62,9999)</f>
        <v/>
      </c>
      <c r="W62" s="57">
        <f>IF(U62&gt;0,$A62,9999)</f>
        <v/>
      </c>
      <c r="X62" s="55">
        <f>IF($A62-$D$9&lt;Premissas!$B$31,0,$C$9*(Premissas!$B$28+(Premissas!$B$29-Premissas!$B$28)*$A62/36)/(1+EXP(-Premissas!$B$33*($A62-$D$9-Premissas!$B$32))))</f>
        <v/>
      </c>
      <c r="Y62" s="56">
        <f>(X62*$B$9+IF($A62&gt;=Premissas!$B$38+$D$9,$F$9,0))*(1-$E$9)*(1-Premissas!$B$53)</f>
        <v/>
      </c>
      <c r="Z62" s="56">
        <f>-(X62*Premissas!$B$19+MAX(0,X62-X61)*Premissas!$B$24+IF($A62-$D$9&lt;=2,Premissas!$B$41,IF($A62-$D$9&lt;=5,Premissas!$B$42,IF($A62-$D$9&lt;=8,Premissas!$B$43,$G$9)))+IF($A62=1+$D$9,Premissas!$B$47,IF($A62=3+$D$9,Premissas!$B$48,IF($A62=6+$D$9,Premissas!$B$49,0))))</f>
        <v/>
      </c>
      <c r="AA62" s="56">
        <f>Y62+Z62</f>
        <v/>
      </c>
      <c r="AB62" s="56">
        <f>AB61+AA62</f>
        <v/>
      </c>
      <c r="AC62" s="57">
        <f>IF(AA62&gt;0,$A62,9999)</f>
        <v/>
      </c>
      <c r="AD62" s="57">
        <f>IF(AB62&gt;0,$A62,9999)</f>
        <v/>
      </c>
      <c r="AE62" s="55">
        <f>IF($A62-$D$10&lt;Premissas!$B$31,0,$C$10*(Premissas!$B$28+(Premissas!$B$29-Premissas!$B$28)*$A62/36)/(1+EXP(-Premissas!$B$33*($A62-$D$10-Premissas!$B$32))))</f>
        <v/>
      </c>
      <c r="AF62" s="56">
        <f>(AE62*$B$10+IF($A62&gt;=Premissas!$B$38+$D$10,$F$10,0))*(1-$E$10)*(1-Premissas!$B$53)</f>
        <v/>
      </c>
      <c r="AG62" s="56">
        <f>-(AE62*Premissas!$B$19+MAX(0,AE62-AE61)*Premissas!$B$24+IF($A62-$D$10&lt;=2,Premissas!$B$41,IF($A62-$D$10&lt;=5,Premissas!$B$42,IF($A62-$D$10&lt;=8,Premissas!$B$43,$G$10)))+IF($A62=1+$D$10,Premissas!$B$47,IF($A62=3+$D$10,Premissas!$B$48,IF($A62=6+$D$10,Premissas!$B$49,0))))</f>
        <v/>
      </c>
      <c r="AH62" s="56">
        <f>AF62+AG62</f>
        <v/>
      </c>
      <c r="AI62" s="56">
        <f>AI61+AH62</f>
        <v/>
      </c>
      <c r="AJ62" s="57">
        <f>IF(AH62&gt;0,$A62,9999)</f>
        <v/>
      </c>
      <c r="AK62" s="57">
        <f>IF(AI62&gt;0,$A62,9999)</f>
        <v/>
      </c>
      <c r="AL62" s="55">
        <f>IF($A62-$D$11&lt;Premissas!$B$31,0,$C$11*(Premissas!$B$28+(Premissas!$B$29-Premissas!$B$28)*$A62/36)/(1+EXP(-Premissas!$B$33*($A62-$D$11-Premissas!$B$32))))</f>
        <v/>
      </c>
      <c r="AM62" s="56">
        <f>(AL62*$B$11+IF($A62&gt;=Premissas!$B$38+$D$11,$F$11,0))*(1-$E$11)*(1-Premissas!$B$53)</f>
        <v/>
      </c>
      <c r="AN62" s="56">
        <f>-(AL62*Premissas!$B$19+MAX(0,AL62-AL61)*Premissas!$B$24+IF($A62-$D$11&lt;=2,Premissas!$B$41,IF($A62-$D$11&lt;=5,Premissas!$B$42,IF($A62-$D$11&lt;=8,Premissas!$B$43,$G$11)))+IF($A62=1+$D$11,Premissas!$B$47,IF($A62=3+$D$11,Premissas!$B$48,IF($A62=6+$D$11,Premissas!$B$49,0))))</f>
        <v/>
      </c>
      <c r="AO62" s="56">
        <f>AM62+AN62</f>
        <v/>
      </c>
      <c r="AP62" s="56">
        <f>AP61+AO62</f>
        <v/>
      </c>
      <c r="AQ62" s="57">
        <f>IF(AO62&gt;0,$A62,9999)</f>
        <v/>
      </c>
      <c r="AR62" s="57">
        <f>IF(AP62&gt;0,$A62,9999)</f>
        <v/>
      </c>
      <c r="AS62" s="55">
        <f>IF($A62-$D$12&lt;Premissas!$B$31,0,$C$12*(Premissas!$B$28+(Premissas!$B$29-Premissas!$B$28)*$A62/36)/(1+EXP(-Premissas!$B$33*($A62-$D$12-Premissas!$B$32))))</f>
        <v/>
      </c>
      <c r="AT62" s="56">
        <f>(AS62*$B$12+IF($A62&gt;=Premissas!$B$38+$D$12,$F$12,0))*(1-$E$12)*(1-Premissas!$B$53)</f>
        <v/>
      </c>
      <c r="AU62" s="56">
        <f>-(AS62*Premissas!$B$19+MAX(0,AS62-AS61)*Premissas!$B$24+IF($A62-$D$12&lt;=2,Premissas!$B$41,IF($A62-$D$12&lt;=5,Premissas!$B$42,IF($A62-$D$12&lt;=8,Premissas!$B$43,$G$12)))+IF($A62=1+$D$12,Premissas!$B$47,IF($A62=3+$D$12,Premissas!$B$48,IF($A62=6+$D$12,Premissas!$B$49,0))))</f>
        <v/>
      </c>
      <c r="AV62" s="56">
        <f>AT62+AU62</f>
        <v/>
      </c>
      <c r="AW62" s="56">
        <f>AW61+AV62</f>
        <v/>
      </c>
      <c r="AX62" s="57">
        <f>IF(AV62&gt;0,$A62,9999)</f>
        <v/>
      </c>
      <c r="AY62" s="57">
        <f>IF(AW62&gt;0,$A62,9999)</f>
        <v/>
      </c>
      <c r="AZ62" s="55">
        <f>IF($A62-$D$13&lt;Premissas!$B$31,0,$C$13*(Premissas!$B$28+(Premissas!$B$29-Premissas!$B$28)*$A62/36)/(1+EXP(-Premissas!$B$33*($A62-$D$13-Premissas!$B$32))))</f>
        <v/>
      </c>
      <c r="BA62" s="56">
        <f>(AZ62*$B$13+IF($A62&gt;=Premissas!$B$38+$D$13,$F$13,0))*(1-$E$13)*(1-Premissas!$B$53)</f>
        <v/>
      </c>
      <c r="BB62" s="56">
        <f>-(AZ62*Premissas!$B$19+MAX(0,AZ62-AZ61)*Premissas!$B$24+IF($A62-$D$13&lt;=2,Premissas!$B$41,IF($A62-$D$13&lt;=5,Premissas!$B$42,IF($A62-$D$13&lt;=8,Premissas!$B$43,$G$13)))+IF($A62=1+$D$13,Premissas!$B$47,IF($A62=3+$D$13,Premissas!$B$48,IF($A62=6+$D$13,Premissas!$B$49,0))))</f>
        <v/>
      </c>
      <c r="BC62" s="56">
        <f>BA62+BB62</f>
        <v/>
      </c>
      <c r="BD62" s="56">
        <f>BD61+BC62</f>
        <v/>
      </c>
      <c r="BE62" s="57">
        <f>IF(BC62&gt;0,$A62,9999)</f>
        <v/>
      </c>
      <c r="BF62" s="57">
        <f>IF(BD62&gt;0,$A62,9999)</f>
        <v/>
      </c>
      <c r="BG62" s="55">
        <f>IF($A62-$D$14&lt;Premissas!$B$31,0,$C$14*(Premissas!$B$28+(Premissas!$B$29-Premissas!$B$28)*$A62/36)/(1+EXP(-Premissas!$B$33*($A62-$D$14-Premissas!$B$32))))</f>
        <v/>
      </c>
      <c r="BH62" s="56">
        <f>(BG62*$B$14+IF($A62&gt;=Premissas!$B$38+$D$14,$F$14,0))*(1-$E$14)*(1-Premissas!$B$53)</f>
        <v/>
      </c>
      <c r="BI62" s="56">
        <f>-(BG62*Premissas!$B$19+MAX(0,BG62-BG61)*Premissas!$B$24+IF($A62-$D$14&lt;=2,Premissas!$B$41,IF($A62-$D$14&lt;=5,Premissas!$B$42,IF($A62-$D$14&lt;=8,Premissas!$B$43,$G$14)))+IF($A62=1+$D$14,Premissas!$B$47,IF($A62=3+$D$14,Premissas!$B$48,IF($A62=6+$D$14,Premissas!$B$49,0))))</f>
        <v/>
      </c>
      <c r="BJ62" s="56">
        <f>BH62+BI62</f>
        <v/>
      </c>
      <c r="BK62" s="56">
        <f>BK61+BJ62</f>
        <v/>
      </c>
      <c r="BL62" s="57">
        <f>IF(BJ62&gt;0,$A62,9999)</f>
        <v/>
      </c>
      <c r="BM62" s="57">
        <f>IF(BK62&gt;0,$A62,9999)</f>
        <v/>
      </c>
      <c r="BN62" s="55">
        <f>IF($A62-$D$15&lt;Premissas!$B$31,0,$C$15*(Premissas!$B$28+(Premissas!$B$29-Premissas!$B$28)*$A62/36)/(1+EXP(-Premissas!$B$33*($A62-$D$15-Premissas!$B$32))))</f>
        <v/>
      </c>
      <c r="BO62" s="56">
        <f>(BN62*$B$15+IF($A62&gt;=Premissas!$B$38+$D$15,$F$15,0))*(1-$E$15)*(1-Premissas!$B$53)</f>
        <v/>
      </c>
      <c r="BP62" s="56">
        <f>-(BN62*Premissas!$B$19+MAX(0,BN62-BN61)*Premissas!$B$24+IF($A62-$D$15&lt;=2,Premissas!$B$41,IF($A62-$D$15&lt;=5,Premissas!$B$42,IF($A62-$D$15&lt;=8,Premissas!$B$43,$G$15)))+IF($A62=1+$D$15,Premissas!$B$47,IF($A62=3+$D$15,Premissas!$B$48,IF($A62=6+$D$15,Premissas!$B$49,0))))</f>
        <v/>
      </c>
      <c r="BQ62" s="56">
        <f>BO62+BP62</f>
        <v/>
      </c>
      <c r="BR62" s="56">
        <f>BR61+BQ62</f>
        <v/>
      </c>
      <c r="BS62" s="57">
        <f>IF(BQ62&gt;0,$A62,9999)</f>
        <v/>
      </c>
      <c r="BT62" s="57">
        <f>IF(BR62&gt;0,$A62,9999)</f>
        <v/>
      </c>
    </row>
    <row r="63">
      <c r="A63" s="12" t="n">
        <v>28</v>
      </c>
      <c r="C63" s="55">
        <f>IF($A63-$D$6&lt;Premissas!$B$31,0,$C$6*(Premissas!$B$28+(Premissas!$B$29-Premissas!$B$28)*$A63/36)/(1+EXP(-Premissas!$B$33*($A63-$D$6-Premissas!$B$32))))</f>
        <v/>
      </c>
      <c r="D63" s="56">
        <f>(C63*$B$6+IF($A63&gt;=Premissas!$B$38+$D$6,$F$6,0))*(1-$E$6)*(1-Premissas!$B$53)</f>
        <v/>
      </c>
      <c r="E63" s="56">
        <f>-(C63*Premissas!$B$19+MAX(0,C63-C62)*Premissas!$B$24+IF($A63-$D$6&lt;=2,Premissas!$B$41,IF($A63-$D$6&lt;=5,Premissas!$B$42,IF($A63-$D$6&lt;=8,Premissas!$B$43,$G$6)))+IF($A63=1+$D$6,Premissas!$B$47,IF($A63=3+$D$6,Premissas!$B$48,IF($A63=6+$D$6,Premissas!$B$49,0))))</f>
        <v/>
      </c>
      <c r="F63" s="56">
        <f>D63+E63</f>
        <v/>
      </c>
      <c r="G63" s="56">
        <f>G62+F63</f>
        <v/>
      </c>
      <c r="H63" s="57">
        <f>IF(F63&gt;0,$A63,9999)</f>
        <v/>
      </c>
      <c r="I63" s="57">
        <f>IF(G63&gt;0,$A63,9999)</f>
        <v/>
      </c>
      <c r="J63" s="55">
        <f>IF($A63-$D$7&lt;Premissas!$B$31,0,$C$7*(Premissas!$B$28+(Premissas!$B$29-Premissas!$B$28)*$A63/36)/(1+EXP(-Premissas!$B$33*($A63-$D$7-Premissas!$B$32))))</f>
        <v/>
      </c>
      <c r="K63" s="56">
        <f>(J63*$B$7+IF($A63&gt;=Premissas!$B$38+$D$7,$F$7,0))*(1-$E$7)*(1-Premissas!$B$53)</f>
        <v/>
      </c>
      <c r="L63" s="56">
        <f>-(J63*Premissas!$B$19+MAX(0,J63-J62)*Premissas!$B$24+IF($A63-$D$7&lt;=2,Premissas!$B$41,IF($A63-$D$7&lt;=5,Premissas!$B$42,IF($A63-$D$7&lt;=8,Premissas!$B$43,$G$7)))+IF($A63=1+$D$7,Premissas!$B$47,IF($A63=3+$D$7,Premissas!$B$48,IF($A63=6+$D$7,Premissas!$B$49,0))))</f>
        <v/>
      </c>
      <c r="M63" s="56">
        <f>K63+L63</f>
        <v/>
      </c>
      <c r="N63" s="56">
        <f>N62+M63</f>
        <v/>
      </c>
      <c r="O63" s="57">
        <f>IF(M63&gt;0,$A63,9999)</f>
        <v/>
      </c>
      <c r="P63" s="57">
        <f>IF(N63&gt;0,$A63,9999)</f>
        <v/>
      </c>
      <c r="Q63" s="55">
        <f>IF($A63-$D$8&lt;Premissas!$B$31,0,$C$8*(Premissas!$B$28+(Premissas!$B$29-Premissas!$B$28)*$A63/36)/(1+EXP(-Premissas!$B$33*($A63-$D$8-Premissas!$B$32))))</f>
        <v/>
      </c>
      <c r="R63" s="56">
        <f>(Q63*$B$8+IF($A63&gt;=Premissas!$B$38+$D$8,$F$8,0))*(1-$E$8)*(1-Premissas!$B$53)</f>
        <v/>
      </c>
      <c r="S63" s="56">
        <f>-(Q63*Premissas!$B$19+MAX(0,Q63-Q62)*Premissas!$B$24+IF($A63-$D$8&lt;=2,Premissas!$B$41,IF($A63-$D$8&lt;=5,Premissas!$B$42,IF($A63-$D$8&lt;=8,Premissas!$B$43,$G$8)))+IF($A63=1+$D$8,Premissas!$B$47,IF($A63=3+$D$8,Premissas!$B$48,IF($A63=6+$D$8,Premissas!$B$49,0))))</f>
        <v/>
      </c>
      <c r="T63" s="56">
        <f>R63+S63</f>
        <v/>
      </c>
      <c r="U63" s="56">
        <f>U62+T63</f>
        <v/>
      </c>
      <c r="V63" s="57">
        <f>IF(T63&gt;0,$A63,9999)</f>
        <v/>
      </c>
      <c r="W63" s="57">
        <f>IF(U63&gt;0,$A63,9999)</f>
        <v/>
      </c>
      <c r="X63" s="55">
        <f>IF($A63-$D$9&lt;Premissas!$B$31,0,$C$9*(Premissas!$B$28+(Premissas!$B$29-Premissas!$B$28)*$A63/36)/(1+EXP(-Premissas!$B$33*($A63-$D$9-Premissas!$B$32))))</f>
        <v/>
      </c>
      <c r="Y63" s="56">
        <f>(X63*$B$9+IF($A63&gt;=Premissas!$B$38+$D$9,$F$9,0))*(1-$E$9)*(1-Premissas!$B$53)</f>
        <v/>
      </c>
      <c r="Z63" s="56">
        <f>-(X63*Premissas!$B$19+MAX(0,X63-X62)*Premissas!$B$24+IF($A63-$D$9&lt;=2,Premissas!$B$41,IF($A63-$D$9&lt;=5,Premissas!$B$42,IF($A63-$D$9&lt;=8,Premissas!$B$43,$G$9)))+IF($A63=1+$D$9,Premissas!$B$47,IF($A63=3+$D$9,Premissas!$B$48,IF($A63=6+$D$9,Premissas!$B$49,0))))</f>
        <v/>
      </c>
      <c r="AA63" s="56">
        <f>Y63+Z63</f>
        <v/>
      </c>
      <c r="AB63" s="56">
        <f>AB62+AA63</f>
        <v/>
      </c>
      <c r="AC63" s="57">
        <f>IF(AA63&gt;0,$A63,9999)</f>
        <v/>
      </c>
      <c r="AD63" s="57">
        <f>IF(AB63&gt;0,$A63,9999)</f>
        <v/>
      </c>
      <c r="AE63" s="55">
        <f>IF($A63-$D$10&lt;Premissas!$B$31,0,$C$10*(Premissas!$B$28+(Premissas!$B$29-Premissas!$B$28)*$A63/36)/(1+EXP(-Premissas!$B$33*($A63-$D$10-Premissas!$B$32))))</f>
        <v/>
      </c>
      <c r="AF63" s="56">
        <f>(AE63*$B$10+IF($A63&gt;=Premissas!$B$38+$D$10,$F$10,0))*(1-$E$10)*(1-Premissas!$B$53)</f>
        <v/>
      </c>
      <c r="AG63" s="56">
        <f>-(AE63*Premissas!$B$19+MAX(0,AE63-AE62)*Premissas!$B$24+IF($A63-$D$10&lt;=2,Premissas!$B$41,IF($A63-$D$10&lt;=5,Premissas!$B$42,IF($A63-$D$10&lt;=8,Premissas!$B$43,$G$10)))+IF($A63=1+$D$10,Premissas!$B$47,IF($A63=3+$D$10,Premissas!$B$48,IF($A63=6+$D$10,Premissas!$B$49,0))))</f>
        <v/>
      </c>
      <c r="AH63" s="56">
        <f>AF63+AG63</f>
        <v/>
      </c>
      <c r="AI63" s="56">
        <f>AI62+AH63</f>
        <v/>
      </c>
      <c r="AJ63" s="57">
        <f>IF(AH63&gt;0,$A63,9999)</f>
        <v/>
      </c>
      <c r="AK63" s="57">
        <f>IF(AI63&gt;0,$A63,9999)</f>
        <v/>
      </c>
      <c r="AL63" s="55">
        <f>IF($A63-$D$11&lt;Premissas!$B$31,0,$C$11*(Premissas!$B$28+(Premissas!$B$29-Premissas!$B$28)*$A63/36)/(1+EXP(-Premissas!$B$33*($A63-$D$11-Premissas!$B$32))))</f>
        <v/>
      </c>
      <c r="AM63" s="56">
        <f>(AL63*$B$11+IF($A63&gt;=Premissas!$B$38+$D$11,$F$11,0))*(1-$E$11)*(1-Premissas!$B$53)</f>
        <v/>
      </c>
      <c r="AN63" s="56">
        <f>-(AL63*Premissas!$B$19+MAX(0,AL63-AL62)*Premissas!$B$24+IF($A63-$D$11&lt;=2,Premissas!$B$41,IF($A63-$D$11&lt;=5,Premissas!$B$42,IF($A63-$D$11&lt;=8,Premissas!$B$43,$G$11)))+IF($A63=1+$D$11,Premissas!$B$47,IF($A63=3+$D$11,Premissas!$B$48,IF($A63=6+$D$11,Premissas!$B$49,0))))</f>
        <v/>
      </c>
      <c r="AO63" s="56">
        <f>AM63+AN63</f>
        <v/>
      </c>
      <c r="AP63" s="56">
        <f>AP62+AO63</f>
        <v/>
      </c>
      <c r="AQ63" s="57">
        <f>IF(AO63&gt;0,$A63,9999)</f>
        <v/>
      </c>
      <c r="AR63" s="57">
        <f>IF(AP63&gt;0,$A63,9999)</f>
        <v/>
      </c>
      <c r="AS63" s="55">
        <f>IF($A63-$D$12&lt;Premissas!$B$31,0,$C$12*(Premissas!$B$28+(Premissas!$B$29-Premissas!$B$28)*$A63/36)/(1+EXP(-Premissas!$B$33*($A63-$D$12-Premissas!$B$32))))</f>
        <v/>
      </c>
      <c r="AT63" s="56">
        <f>(AS63*$B$12+IF($A63&gt;=Premissas!$B$38+$D$12,$F$12,0))*(1-$E$12)*(1-Premissas!$B$53)</f>
        <v/>
      </c>
      <c r="AU63" s="56">
        <f>-(AS63*Premissas!$B$19+MAX(0,AS63-AS62)*Premissas!$B$24+IF($A63-$D$12&lt;=2,Premissas!$B$41,IF($A63-$D$12&lt;=5,Premissas!$B$42,IF($A63-$D$12&lt;=8,Premissas!$B$43,$G$12)))+IF($A63=1+$D$12,Premissas!$B$47,IF($A63=3+$D$12,Premissas!$B$48,IF($A63=6+$D$12,Premissas!$B$49,0))))</f>
        <v/>
      </c>
      <c r="AV63" s="56">
        <f>AT63+AU63</f>
        <v/>
      </c>
      <c r="AW63" s="56">
        <f>AW62+AV63</f>
        <v/>
      </c>
      <c r="AX63" s="57">
        <f>IF(AV63&gt;0,$A63,9999)</f>
        <v/>
      </c>
      <c r="AY63" s="57">
        <f>IF(AW63&gt;0,$A63,9999)</f>
        <v/>
      </c>
      <c r="AZ63" s="55">
        <f>IF($A63-$D$13&lt;Premissas!$B$31,0,$C$13*(Premissas!$B$28+(Premissas!$B$29-Premissas!$B$28)*$A63/36)/(1+EXP(-Premissas!$B$33*($A63-$D$13-Premissas!$B$32))))</f>
        <v/>
      </c>
      <c r="BA63" s="56">
        <f>(AZ63*$B$13+IF($A63&gt;=Premissas!$B$38+$D$13,$F$13,0))*(1-$E$13)*(1-Premissas!$B$53)</f>
        <v/>
      </c>
      <c r="BB63" s="56">
        <f>-(AZ63*Premissas!$B$19+MAX(0,AZ63-AZ62)*Premissas!$B$24+IF($A63-$D$13&lt;=2,Premissas!$B$41,IF($A63-$D$13&lt;=5,Premissas!$B$42,IF($A63-$D$13&lt;=8,Premissas!$B$43,$G$13)))+IF($A63=1+$D$13,Premissas!$B$47,IF($A63=3+$D$13,Premissas!$B$48,IF($A63=6+$D$13,Premissas!$B$49,0))))</f>
        <v/>
      </c>
      <c r="BC63" s="56">
        <f>BA63+BB63</f>
        <v/>
      </c>
      <c r="BD63" s="56">
        <f>BD62+BC63</f>
        <v/>
      </c>
      <c r="BE63" s="57">
        <f>IF(BC63&gt;0,$A63,9999)</f>
        <v/>
      </c>
      <c r="BF63" s="57">
        <f>IF(BD63&gt;0,$A63,9999)</f>
        <v/>
      </c>
      <c r="BG63" s="55">
        <f>IF($A63-$D$14&lt;Premissas!$B$31,0,$C$14*(Premissas!$B$28+(Premissas!$B$29-Premissas!$B$28)*$A63/36)/(1+EXP(-Premissas!$B$33*($A63-$D$14-Premissas!$B$32))))</f>
        <v/>
      </c>
      <c r="BH63" s="56">
        <f>(BG63*$B$14+IF($A63&gt;=Premissas!$B$38+$D$14,$F$14,0))*(1-$E$14)*(1-Premissas!$B$53)</f>
        <v/>
      </c>
      <c r="BI63" s="56">
        <f>-(BG63*Premissas!$B$19+MAX(0,BG63-BG62)*Premissas!$B$24+IF($A63-$D$14&lt;=2,Premissas!$B$41,IF($A63-$D$14&lt;=5,Premissas!$B$42,IF($A63-$D$14&lt;=8,Premissas!$B$43,$G$14)))+IF($A63=1+$D$14,Premissas!$B$47,IF($A63=3+$D$14,Premissas!$B$48,IF($A63=6+$D$14,Premissas!$B$49,0))))</f>
        <v/>
      </c>
      <c r="BJ63" s="56">
        <f>BH63+BI63</f>
        <v/>
      </c>
      <c r="BK63" s="56">
        <f>BK62+BJ63</f>
        <v/>
      </c>
      <c r="BL63" s="57">
        <f>IF(BJ63&gt;0,$A63,9999)</f>
        <v/>
      </c>
      <c r="BM63" s="57">
        <f>IF(BK63&gt;0,$A63,9999)</f>
        <v/>
      </c>
      <c r="BN63" s="55">
        <f>IF($A63-$D$15&lt;Premissas!$B$31,0,$C$15*(Premissas!$B$28+(Premissas!$B$29-Premissas!$B$28)*$A63/36)/(1+EXP(-Premissas!$B$33*($A63-$D$15-Premissas!$B$32))))</f>
        <v/>
      </c>
      <c r="BO63" s="56">
        <f>(BN63*$B$15+IF($A63&gt;=Premissas!$B$38+$D$15,$F$15,0))*(1-$E$15)*(1-Premissas!$B$53)</f>
        <v/>
      </c>
      <c r="BP63" s="56">
        <f>-(BN63*Premissas!$B$19+MAX(0,BN63-BN62)*Premissas!$B$24+IF($A63-$D$15&lt;=2,Premissas!$B$41,IF($A63-$D$15&lt;=5,Premissas!$B$42,IF($A63-$D$15&lt;=8,Premissas!$B$43,$G$15)))+IF($A63=1+$D$15,Premissas!$B$47,IF($A63=3+$D$15,Premissas!$B$48,IF($A63=6+$D$15,Premissas!$B$49,0))))</f>
        <v/>
      </c>
      <c r="BQ63" s="56">
        <f>BO63+BP63</f>
        <v/>
      </c>
      <c r="BR63" s="56">
        <f>BR62+BQ63</f>
        <v/>
      </c>
      <c r="BS63" s="57">
        <f>IF(BQ63&gt;0,$A63,9999)</f>
        <v/>
      </c>
      <c r="BT63" s="57">
        <f>IF(BR63&gt;0,$A63,9999)</f>
        <v/>
      </c>
    </row>
    <row r="64">
      <c r="A64" s="12" t="n">
        <v>29</v>
      </c>
      <c r="C64" s="55">
        <f>IF($A64-$D$6&lt;Premissas!$B$31,0,$C$6*(Premissas!$B$28+(Premissas!$B$29-Premissas!$B$28)*$A64/36)/(1+EXP(-Premissas!$B$33*($A64-$D$6-Premissas!$B$32))))</f>
        <v/>
      </c>
      <c r="D64" s="56">
        <f>(C64*$B$6+IF($A64&gt;=Premissas!$B$38+$D$6,$F$6,0))*(1-$E$6)*(1-Premissas!$B$53)</f>
        <v/>
      </c>
      <c r="E64" s="56">
        <f>-(C64*Premissas!$B$19+MAX(0,C64-C63)*Premissas!$B$24+IF($A64-$D$6&lt;=2,Premissas!$B$41,IF($A64-$D$6&lt;=5,Premissas!$B$42,IF($A64-$D$6&lt;=8,Premissas!$B$43,$G$6)))+IF($A64=1+$D$6,Premissas!$B$47,IF($A64=3+$D$6,Premissas!$B$48,IF($A64=6+$D$6,Premissas!$B$49,0))))</f>
        <v/>
      </c>
      <c r="F64" s="56">
        <f>D64+E64</f>
        <v/>
      </c>
      <c r="G64" s="56">
        <f>G63+F64</f>
        <v/>
      </c>
      <c r="H64" s="57">
        <f>IF(F64&gt;0,$A64,9999)</f>
        <v/>
      </c>
      <c r="I64" s="57">
        <f>IF(G64&gt;0,$A64,9999)</f>
        <v/>
      </c>
      <c r="J64" s="55">
        <f>IF($A64-$D$7&lt;Premissas!$B$31,0,$C$7*(Premissas!$B$28+(Premissas!$B$29-Premissas!$B$28)*$A64/36)/(1+EXP(-Premissas!$B$33*($A64-$D$7-Premissas!$B$32))))</f>
        <v/>
      </c>
      <c r="K64" s="56">
        <f>(J64*$B$7+IF($A64&gt;=Premissas!$B$38+$D$7,$F$7,0))*(1-$E$7)*(1-Premissas!$B$53)</f>
        <v/>
      </c>
      <c r="L64" s="56">
        <f>-(J64*Premissas!$B$19+MAX(0,J64-J63)*Premissas!$B$24+IF($A64-$D$7&lt;=2,Premissas!$B$41,IF($A64-$D$7&lt;=5,Premissas!$B$42,IF($A64-$D$7&lt;=8,Premissas!$B$43,$G$7)))+IF($A64=1+$D$7,Premissas!$B$47,IF($A64=3+$D$7,Premissas!$B$48,IF($A64=6+$D$7,Premissas!$B$49,0))))</f>
        <v/>
      </c>
      <c r="M64" s="56">
        <f>K64+L64</f>
        <v/>
      </c>
      <c r="N64" s="56">
        <f>N63+M64</f>
        <v/>
      </c>
      <c r="O64" s="57">
        <f>IF(M64&gt;0,$A64,9999)</f>
        <v/>
      </c>
      <c r="P64" s="57">
        <f>IF(N64&gt;0,$A64,9999)</f>
        <v/>
      </c>
      <c r="Q64" s="55">
        <f>IF($A64-$D$8&lt;Premissas!$B$31,0,$C$8*(Premissas!$B$28+(Premissas!$B$29-Premissas!$B$28)*$A64/36)/(1+EXP(-Premissas!$B$33*($A64-$D$8-Premissas!$B$32))))</f>
        <v/>
      </c>
      <c r="R64" s="56">
        <f>(Q64*$B$8+IF($A64&gt;=Premissas!$B$38+$D$8,$F$8,0))*(1-$E$8)*(1-Premissas!$B$53)</f>
        <v/>
      </c>
      <c r="S64" s="56">
        <f>-(Q64*Premissas!$B$19+MAX(0,Q64-Q63)*Premissas!$B$24+IF($A64-$D$8&lt;=2,Premissas!$B$41,IF($A64-$D$8&lt;=5,Premissas!$B$42,IF($A64-$D$8&lt;=8,Premissas!$B$43,$G$8)))+IF($A64=1+$D$8,Premissas!$B$47,IF($A64=3+$D$8,Premissas!$B$48,IF($A64=6+$D$8,Premissas!$B$49,0))))</f>
        <v/>
      </c>
      <c r="T64" s="56">
        <f>R64+S64</f>
        <v/>
      </c>
      <c r="U64" s="56">
        <f>U63+T64</f>
        <v/>
      </c>
      <c r="V64" s="57">
        <f>IF(T64&gt;0,$A64,9999)</f>
        <v/>
      </c>
      <c r="W64" s="57">
        <f>IF(U64&gt;0,$A64,9999)</f>
        <v/>
      </c>
      <c r="X64" s="55">
        <f>IF($A64-$D$9&lt;Premissas!$B$31,0,$C$9*(Premissas!$B$28+(Premissas!$B$29-Premissas!$B$28)*$A64/36)/(1+EXP(-Premissas!$B$33*($A64-$D$9-Premissas!$B$32))))</f>
        <v/>
      </c>
      <c r="Y64" s="56">
        <f>(X64*$B$9+IF($A64&gt;=Premissas!$B$38+$D$9,$F$9,0))*(1-$E$9)*(1-Premissas!$B$53)</f>
        <v/>
      </c>
      <c r="Z64" s="56">
        <f>-(X64*Premissas!$B$19+MAX(0,X64-X63)*Premissas!$B$24+IF($A64-$D$9&lt;=2,Premissas!$B$41,IF($A64-$D$9&lt;=5,Premissas!$B$42,IF($A64-$D$9&lt;=8,Premissas!$B$43,$G$9)))+IF($A64=1+$D$9,Premissas!$B$47,IF($A64=3+$D$9,Premissas!$B$48,IF($A64=6+$D$9,Premissas!$B$49,0))))</f>
        <v/>
      </c>
      <c r="AA64" s="56">
        <f>Y64+Z64</f>
        <v/>
      </c>
      <c r="AB64" s="56">
        <f>AB63+AA64</f>
        <v/>
      </c>
      <c r="AC64" s="57">
        <f>IF(AA64&gt;0,$A64,9999)</f>
        <v/>
      </c>
      <c r="AD64" s="57">
        <f>IF(AB64&gt;0,$A64,9999)</f>
        <v/>
      </c>
      <c r="AE64" s="55">
        <f>IF($A64-$D$10&lt;Premissas!$B$31,0,$C$10*(Premissas!$B$28+(Premissas!$B$29-Premissas!$B$28)*$A64/36)/(1+EXP(-Premissas!$B$33*($A64-$D$10-Premissas!$B$32))))</f>
        <v/>
      </c>
      <c r="AF64" s="56">
        <f>(AE64*$B$10+IF($A64&gt;=Premissas!$B$38+$D$10,$F$10,0))*(1-$E$10)*(1-Premissas!$B$53)</f>
        <v/>
      </c>
      <c r="AG64" s="56">
        <f>-(AE64*Premissas!$B$19+MAX(0,AE64-AE63)*Premissas!$B$24+IF($A64-$D$10&lt;=2,Premissas!$B$41,IF($A64-$D$10&lt;=5,Premissas!$B$42,IF($A64-$D$10&lt;=8,Premissas!$B$43,$G$10)))+IF($A64=1+$D$10,Premissas!$B$47,IF($A64=3+$D$10,Premissas!$B$48,IF($A64=6+$D$10,Premissas!$B$49,0))))</f>
        <v/>
      </c>
      <c r="AH64" s="56">
        <f>AF64+AG64</f>
        <v/>
      </c>
      <c r="AI64" s="56">
        <f>AI63+AH64</f>
        <v/>
      </c>
      <c r="AJ64" s="57">
        <f>IF(AH64&gt;0,$A64,9999)</f>
        <v/>
      </c>
      <c r="AK64" s="57">
        <f>IF(AI64&gt;0,$A64,9999)</f>
        <v/>
      </c>
      <c r="AL64" s="55">
        <f>IF($A64-$D$11&lt;Premissas!$B$31,0,$C$11*(Premissas!$B$28+(Premissas!$B$29-Premissas!$B$28)*$A64/36)/(1+EXP(-Premissas!$B$33*($A64-$D$11-Premissas!$B$32))))</f>
        <v/>
      </c>
      <c r="AM64" s="56">
        <f>(AL64*$B$11+IF($A64&gt;=Premissas!$B$38+$D$11,$F$11,0))*(1-$E$11)*(1-Premissas!$B$53)</f>
        <v/>
      </c>
      <c r="AN64" s="56">
        <f>-(AL64*Premissas!$B$19+MAX(0,AL64-AL63)*Premissas!$B$24+IF($A64-$D$11&lt;=2,Premissas!$B$41,IF($A64-$D$11&lt;=5,Premissas!$B$42,IF($A64-$D$11&lt;=8,Premissas!$B$43,$G$11)))+IF($A64=1+$D$11,Premissas!$B$47,IF($A64=3+$D$11,Premissas!$B$48,IF($A64=6+$D$11,Premissas!$B$49,0))))</f>
        <v/>
      </c>
      <c r="AO64" s="56">
        <f>AM64+AN64</f>
        <v/>
      </c>
      <c r="AP64" s="56">
        <f>AP63+AO64</f>
        <v/>
      </c>
      <c r="AQ64" s="57">
        <f>IF(AO64&gt;0,$A64,9999)</f>
        <v/>
      </c>
      <c r="AR64" s="57">
        <f>IF(AP64&gt;0,$A64,9999)</f>
        <v/>
      </c>
      <c r="AS64" s="55">
        <f>IF($A64-$D$12&lt;Premissas!$B$31,0,$C$12*(Premissas!$B$28+(Premissas!$B$29-Premissas!$B$28)*$A64/36)/(1+EXP(-Premissas!$B$33*($A64-$D$12-Premissas!$B$32))))</f>
        <v/>
      </c>
      <c r="AT64" s="56">
        <f>(AS64*$B$12+IF($A64&gt;=Premissas!$B$38+$D$12,$F$12,0))*(1-$E$12)*(1-Premissas!$B$53)</f>
        <v/>
      </c>
      <c r="AU64" s="56">
        <f>-(AS64*Premissas!$B$19+MAX(0,AS64-AS63)*Premissas!$B$24+IF($A64-$D$12&lt;=2,Premissas!$B$41,IF($A64-$D$12&lt;=5,Premissas!$B$42,IF($A64-$D$12&lt;=8,Premissas!$B$43,$G$12)))+IF($A64=1+$D$12,Premissas!$B$47,IF($A64=3+$D$12,Premissas!$B$48,IF($A64=6+$D$12,Premissas!$B$49,0))))</f>
        <v/>
      </c>
      <c r="AV64" s="56">
        <f>AT64+AU64</f>
        <v/>
      </c>
      <c r="AW64" s="56">
        <f>AW63+AV64</f>
        <v/>
      </c>
      <c r="AX64" s="57">
        <f>IF(AV64&gt;0,$A64,9999)</f>
        <v/>
      </c>
      <c r="AY64" s="57">
        <f>IF(AW64&gt;0,$A64,9999)</f>
        <v/>
      </c>
      <c r="AZ64" s="55">
        <f>IF($A64-$D$13&lt;Premissas!$B$31,0,$C$13*(Premissas!$B$28+(Premissas!$B$29-Premissas!$B$28)*$A64/36)/(1+EXP(-Premissas!$B$33*($A64-$D$13-Premissas!$B$32))))</f>
        <v/>
      </c>
      <c r="BA64" s="56">
        <f>(AZ64*$B$13+IF($A64&gt;=Premissas!$B$38+$D$13,$F$13,0))*(1-$E$13)*(1-Premissas!$B$53)</f>
        <v/>
      </c>
      <c r="BB64" s="56">
        <f>-(AZ64*Premissas!$B$19+MAX(0,AZ64-AZ63)*Premissas!$B$24+IF($A64-$D$13&lt;=2,Premissas!$B$41,IF($A64-$D$13&lt;=5,Premissas!$B$42,IF($A64-$D$13&lt;=8,Premissas!$B$43,$G$13)))+IF($A64=1+$D$13,Premissas!$B$47,IF($A64=3+$D$13,Premissas!$B$48,IF($A64=6+$D$13,Premissas!$B$49,0))))</f>
        <v/>
      </c>
      <c r="BC64" s="56">
        <f>BA64+BB64</f>
        <v/>
      </c>
      <c r="BD64" s="56">
        <f>BD63+BC64</f>
        <v/>
      </c>
      <c r="BE64" s="57">
        <f>IF(BC64&gt;0,$A64,9999)</f>
        <v/>
      </c>
      <c r="BF64" s="57">
        <f>IF(BD64&gt;0,$A64,9999)</f>
        <v/>
      </c>
      <c r="BG64" s="55">
        <f>IF($A64-$D$14&lt;Premissas!$B$31,0,$C$14*(Premissas!$B$28+(Premissas!$B$29-Premissas!$B$28)*$A64/36)/(1+EXP(-Premissas!$B$33*($A64-$D$14-Premissas!$B$32))))</f>
        <v/>
      </c>
      <c r="BH64" s="56">
        <f>(BG64*$B$14+IF($A64&gt;=Premissas!$B$38+$D$14,$F$14,0))*(1-$E$14)*(1-Premissas!$B$53)</f>
        <v/>
      </c>
      <c r="BI64" s="56">
        <f>-(BG64*Premissas!$B$19+MAX(0,BG64-BG63)*Premissas!$B$24+IF($A64-$D$14&lt;=2,Premissas!$B$41,IF($A64-$D$14&lt;=5,Premissas!$B$42,IF($A64-$D$14&lt;=8,Premissas!$B$43,$G$14)))+IF($A64=1+$D$14,Premissas!$B$47,IF($A64=3+$D$14,Premissas!$B$48,IF($A64=6+$D$14,Premissas!$B$49,0))))</f>
        <v/>
      </c>
      <c r="BJ64" s="56">
        <f>BH64+BI64</f>
        <v/>
      </c>
      <c r="BK64" s="56">
        <f>BK63+BJ64</f>
        <v/>
      </c>
      <c r="BL64" s="57">
        <f>IF(BJ64&gt;0,$A64,9999)</f>
        <v/>
      </c>
      <c r="BM64" s="57">
        <f>IF(BK64&gt;0,$A64,9999)</f>
        <v/>
      </c>
      <c r="BN64" s="55">
        <f>IF($A64-$D$15&lt;Premissas!$B$31,0,$C$15*(Premissas!$B$28+(Premissas!$B$29-Premissas!$B$28)*$A64/36)/(1+EXP(-Premissas!$B$33*($A64-$D$15-Premissas!$B$32))))</f>
        <v/>
      </c>
      <c r="BO64" s="56">
        <f>(BN64*$B$15+IF($A64&gt;=Premissas!$B$38+$D$15,$F$15,0))*(1-$E$15)*(1-Premissas!$B$53)</f>
        <v/>
      </c>
      <c r="BP64" s="56">
        <f>-(BN64*Premissas!$B$19+MAX(0,BN64-BN63)*Premissas!$B$24+IF($A64-$D$15&lt;=2,Premissas!$B$41,IF($A64-$D$15&lt;=5,Premissas!$B$42,IF($A64-$D$15&lt;=8,Premissas!$B$43,$G$15)))+IF($A64=1+$D$15,Premissas!$B$47,IF($A64=3+$D$15,Premissas!$B$48,IF($A64=6+$D$15,Premissas!$B$49,0))))</f>
        <v/>
      </c>
      <c r="BQ64" s="56">
        <f>BO64+BP64</f>
        <v/>
      </c>
      <c r="BR64" s="56">
        <f>BR63+BQ64</f>
        <v/>
      </c>
      <c r="BS64" s="57">
        <f>IF(BQ64&gt;0,$A64,9999)</f>
        <v/>
      </c>
      <c r="BT64" s="57">
        <f>IF(BR64&gt;0,$A64,9999)</f>
        <v/>
      </c>
    </row>
    <row r="65">
      <c r="A65" s="12" t="n">
        <v>30</v>
      </c>
      <c r="C65" s="55">
        <f>IF($A65-$D$6&lt;Premissas!$B$31,0,$C$6*(Premissas!$B$28+(Premissas!$B$29-Premissas!$B$28)*$A65/36)/(1+EXP(-Premissas!$B$33*($A65-$D$6-Premissas!$B$32))))</f>
        <v/>
      </c>
      <c r="D65" s="56">
        <f>(C65*$B$6+IF($A65&gt;=Premissas!$B$38+$D$6,$F$6,0))*(1-$E$6)*(1-Premissas!$B$53)</f>
        <v/>
      </c>
      <c r="E65" s="56">
        <f>-(C65*Premissas!$B$19+MAX(0,C65-C64)*Premissas!$B$24+IF($A65-$D$6&lt;=2,Premissas!$B$41,IF($A65-$D$6&lt;=5,Premissas!$B$42,IF($A65-$D$6&lt;=8,Premissas!$B$43,$G$6)))+IF($A65=1+$D$6,Premissas!$B$47,IF($A65=3+$D$6,Premissas!$B$48,IF($A65=6+$D$6,Premissas!$B$49,0))))</f>
        <v/>
      </c>
      <c r="F65" s="56">
        <f>D65+E65</f>
        <v/>
      </c>
      <c r="G65" s="56">
        <f>G64+F65</f>
        <v/>
      </c>
      <c r="H65" s="57">
        <f>IF(F65&gt;0,$A65,9999)</f>
        <v/>
      </c>
      <c r="I65" s="57">
        <f>IF(G65&gt;0,$A65,9999)</f>
        <v/>
      </c>
      <c r="J65" s="55">
        <f>IF($A65-$D$7&lt;Premissas!$B$31,0,$C$7*(Premissas!$B$28+(Premissas!$B$29-Premissas!$B$28)*$A65/36)/(1+EXP(-Premissas!$B$33*($A65-$D$7-Premissas!$B$32))))</f>
        <v/>
      </c>
      <c r="K65" s="56">
        <f>(J65*$B$7+IF($A65&gt;=Premissas!$B$38+$D$7,$F$7,0))*(1-$E$7)*(1-Premissas!$B$53)</f>
        <v/>
      </c>
      <c r="L65" s="56">
        <f>-(J65*Premissas!$B$19+MAX(0,J65-J64)*Premissas!$B$24+IF($A65-$D$7&lt;=2,Premissas!$B$41,IF($A65-$D$7&lt;=5,Premissas!$B$42,IF($A65-$D$7&lt;=8,Premissas!$B$43,$G$7)))+IF($A65=1+$D$7,Premissas!$B$47,IF($A65=3+$D$7,Premissas!$B$48,IF($A65=6+$D$7,Premissas!$B$49,0))))</f>
        <v/>
      </c>
      <c r="M65" s="56">
        <f>K65+L65</f>
        <v/>
      </c>
      <c r="N65" s="56">
        <f>N64+M65</f>
        <v/>
      </c>
      <c r="O65" s="57">
        <f>IF(M65&gt;0,$A65,9999)</f>
        <v/>
      </c>
      <c r="P65" s="57">
        <f>IF(N65&gt;0,$A65,9999)</f>
        <v/>
      </c>
      <c r="Q65" s="55">
        <f>IF($A65-$D$8&lt;Premissas!$B$31,0,$C$8*(Premissas!$B$28+(Premissas!$B$29-Premissas!$B$28)*$A65/36)/(1+EXP(-Premissas!$B$33*($A65-$D$8-Premissas!$B$32))))</f>
        <v/>
      </c>
      <c r="R65" s="56">
        <f>(Q65*$B$8+IF($A65&gt;=Premissas!$B$38+$D$8,$F$8,0))*(1-$E$8)*(1-Premissas!$B$53)</f>
        <v/>
      </c>
      <c r="S65" s="56">
        <f>-(Q65*Premissas!$B$19+MAX(0,Q65-Q64)*Premissas!$B$24+IF($A65-$D$8&lt;=2,Premissas!$B$41,IF($A65-$D$8&lt;=5,Premissas!$B$42,IF($A65-$D$8&lt;=8,Premissas!$B$43,$G$8)))+IF($A65=1+$D$8,Premissas!$B$47,IF($A65=3+$D$8,Premissas!$B$48,IF($A65=6+$D$8,Premissas!$B$49,0))))</f>
        <v/>
      </c>
      <c r="T65" s="56">
        <f>R65+S65</f>
        <v/>
      </c>
      <c r="U65" s="56">
        <f>U64+T65</f>
        <v/>
      </c>
      <c r="V65" s="57">
        <f>IF(T65&gt;0,$A65,9999)</f>
        <v/>
      </c>
      <c r="W65" s="57">
        <f>IF(U65&gt;0,$A65,9999)</f>
        <v/>
      </c>
      <c r="X65" s="55">
        <f>IF($A65-$D$9&lt;Premissas!$B$31,0,$C$9*(Premissas!$B$28+(Premissas!$B$29-Premissas!$B$28)*$A65/36)/(1+EXP(-Premissas!$B$33*($A65-$D$9-Premissas!$B$32))))</f>
        <v/>
      </c>
      <c r="Y65" s="56">
        <f>(X65*$B$9+IF($A65&gt;=Premissas!$B$38+$D$9,$F$9,0))*(1-$E$9)*(1-Premissas!$B$53)</f>
        <v/>
      </c>
      <c r="Z65" s="56">
        <f>-(X65*Premissas!$B$19+MAX(0,X65-X64)*Premissas!$B$24+IF($A65-$D$9&lt;=2,Premissas!$B$41,IF($A65-$D$9&lt;=5,Premissas!$B$42,IF($A65-$D$9&lt;=8,Premissas!$B$43,$G$9)))+IF($A65=1+$D$9,Premissas!$B$47,IF($A65=3+$D$9,Premissas!$B$48,IF($A65=6+$D$9,Premissas!$B$49,0))))</f>
        <v/>
      </c>
      <c r="AA65" s="56">
        <f>Y65+Z65</f>
        <v/>
      </c>
      <c r="AB65" s="56">
        <f>AB64+AA65</f>
        <v/>
      </c>
      <c r="AC65" s="57">
        <f>IF(AA65&gt;0,$A65,9999)</f>
        <v/>
      </c>
      <c r="AD65" s="57">
        <f>IF(AB65&gt;0,$A65,9999)</f>
        <v/>
      </c>
      <c r="AE65" s="55">
        <f>IF($A65-$D$10&lt;Premissas!$B$31,0,$C$10*(Premissas!$B$28+(Premissas!$B$29-Premissas!$B$28)*$A65/36)/(1+EXP(-Premissas!$B$33*($A65-$D$10-Premissas!$B$32))))</f>
        <v/>
      </c>
      <c r="AF65" s="56">
        <f>(AE65*$B$10+IF($A65&gt;=Premissas!$B$38+$D$10,$F$10,0))*(1-$E$10)*(1-Premissas!$B$53)</f>
        <v/>
      </c>
      <c r="AG65" s="56">
        <f>-(AE65*Premissas!$B$19+MAX(0,AE65-AE64)*Premissas!$B$24+IF($A65-$D$10&lt;=2,Premissas!$B$41,IF($A65-$D$10&lt;=5,Premissas!$B$42,IF($A65-$D$10&lt;=8,Premissas!$B$43,$G$10)))+IF($A65=1+$D$10,Premissas!$B$47,IF($A65=3+$D$10,Premissas!$B$48,IF($A65=6+$D$10,Premissas!$B$49,0))))</f>
        <v/>
      </c>
      <c r="AH65" s="56">
        <f>AF65+AG65</f>
        <v/>
      </c>
      <c r="AI65" s="56">
        <f>AI64+AH65</f>
        <v/>
      </c>
      <c r="AJ65" s="57">
        <f>IF(AH65&gt;0,$A65,9999)</f>
        <v/>
      </c>
      <c r="AK65" s="57">
        <f>IF(AI65&gt;0,$A65,9999)</f>
        <v/>
      </c>
      <c r="AL65" s="55">
        <f>IF($A65-$D$11&lt;Premissas!$B$31,0,$C$11*(Premissas!$B$28+(Premissas!$B$29-Premissas!$B$28)*$A65/36)/(1+EXP(-Premissas!$B$33*($A65-$D$11-Premissas!$B$32))))</f>
        <v/>
      </c>
      <c r="AM65" s="56">
        <f>(AL65*$B$11+IF($A65&gt;=Premissas!$B$38+$D$11,$F$11,0))*(1-$E$11)*(1-Premissas!$B$53)</f>
        <v/>
      </c>
      <c r="AN65" s="56">
        <f>-(AL65*Premissas!$B$19+MAX(0,AL65-AL64)*Premissas!$B$24+IF($A65-$D$11&lt;=2,Premissas!$B$41,IF($A65-$D$11&lt;=5,Premissas!$B$42,IF($A65-$D$11&lt;=8,Premissas!$B$43,$G$11)))+IF($A65=1+$D$11,Premissas!$B$47,IF($A65=3+$D$11,Premissas!$B$48,IF($A65=6+$D$11,Premissas!$B$49,0))))</f>
        <v/>
      </c>
      <c r="AO65" s="56">
        <f>AM65+AN65</f>
        <v/>
      </c>
      <c r="AP65" s="56">
        <f>AP64+AO65</f>
        <v/>
      </c>
      <c r="AQ65" s="57">
        <f>IF(AO65&gt;0,$A65,9999)</f>
        <v/>
      </c>
      <c r="AR65" s="57">
        <f>IF(AP65&gt;0,$A65,9999)</f>
        <v/>
      </c>
      <c r="AS65" s="55">
        <f>IF($A65-$D$12&lt;Premissas!$B$31,0,$C$12*(Premissas!$B$28+(Premissas!$B$29-Premissas!$B$28)*$A65/36)/(1+EXP(-Premissas!$B$33*($A65-$D$12-Premissas!$B$32))))</f>
        <v/>
      </c>
      <c r="AT65" s="56">
        <f>(AS65*$B$12+IF($A65&gt;=Premissas!$B$38+$D$12,$F$12,0))*(1-$E$12)*(1-Premissas!$B$53)</f>
        <v/>
      </c>
      <c r="AU65" s="56">
        <f>-(AS65*Premissas!$B$19+MAX(0,AS65-AS64)*Premissas!$B$24+IF($A65-$D$12&lt;=2,Premissas!$B$41,IF($A65-$D$12&lt;=5,Premissas!$B$42,IF($A65-$D$12&lt;=8,Premissas!$B$43,$G$12)))+IF($A65=1+$D$12,Premissas!$B$47,IF($A65=3+$D$12,Premissas!$B$48,IF($A65=6+$D$12,Premissas!$B$49,0))))</f>
        <v/>
      </c>
      <c r="AV65" s="56">
        <f>AT65+AU65</f>
        <v/>
      </c>
      <c r="AW65" s="56">
        <f>AW64+AV65</f>
        <v/>
      </c>
      <c r="AX65" s="57">
        <f>IF(AV65&gt;0,$A65,9999)</f>
        <v/>
      </c>
      <c r="AY65" s="57">
        <f>IF(AW65&gt;0,$A65,9999)</f>
        <v/>
      </c>
      <c r="AZ65" s="55">
        <f>IF($A65-$D$13&lt;Premissas!$B$31,0,$C$13*(Premissas!$B$28+(Premissas!$B$29-Premissas!$B$28)*$A65/36)/(1+EXP(-Premissas!$B$33*($A65-$D$13-Premissas!$B$32))))</f>
        <v/>
      </c>
      <c r="BA65" s="56">
        <f>(AZ65*$B$13+IF($A65&gt;=Premissas!$B$38+$D$13,$F$13,0))*(1-$E$13)*(1-Premissas!$B$53)</f>
        <v/>
      </c>
      <c r="BB65" s="56">
        <f>-(AZ65*Premissas!$B$19+MAX(0,AZ65-AZ64)*Premissas!$B$24+IF($A65-$D$13&lt;=2,Premissas!$B$41,IF($A65-$D$13&lt;=5,Premissas!$B$42,IF($A65-$D$13&lt;=8,Premissas!$B$43,$G$13)))+IF($A65=1+$D$13,Premissas!$B$47,IF($A65=3+$D$13,Premissas!$B$48,IF($A65=6+$D$13,Premissas!$B$49,0))))</f>
        <v/>
      </c>
      <c r="BC65" s="56">
        <f>BA65+BB65</f>
        <v/>
      </c>
      <c r="BD65" s="56">
        <f>BD64+BC65</f>
        <v/>
      </c>
      <c r="BE65" s="57">
        <f>IF(BC65&gt;0,$A65,9999)</f>
        <v/>
      </c>
      <c r="BF65" s="57">
        <f>IF(BD65&gt;0,$A65,9999)</f>
        <v/>
      </c>
      <c r="BG65" s="55">
        <f>IF($A65-$D$14&lt;Premissas!$B$31,0,$C$14*(Premissas!$B$28+(Premissas!$B$29-Premissas!$B$28)*$A65/36)/(1+EXP(-Premissas!$B$33*($A65-$D$14-Premissas!$B$32))))</f>
        <v/>
      </c>
      <c r="BH65" s="56">
        <f>(BG65*$B$14+IF($A65&gt;=Premissas!$B$38+$D$14,$F$14,0))*(1-$E$14)*(1-Premissas!$B$53)</f>
        <v/>
      </c>
      <c r="BI65" s="56">
        <f>-(BG65*Premissas!$B$19+MAX(0,BG65-BG64)*Premissas!$B$24+IF($A65-$D$14&lt;=2,Premissas!$B$41,IF($A65-$D$14&lt;=5,Premissas!$B$42,IF($A65-$D$14&lt;=8,Premissas!$B$43,$G$14)))+IF($A65=1+$D$14,Premissas!$B$47,IF($A65=3+$D$14,Premissas!$B$48,IF($A65=6+$D$14,Premissas!$B$49,0))))</f>
        <v/>
      </c>
      <c r="BJ65" s="56">
        <f>BH65+BI65</f>
        <v/>
      </c>
      <c r="BK65" s="56">
        <f>BK64+BJ65</f>
        <v/>
      </c>
      <c r="BL65" s="57">
        <f>IF(BJ65&gt;0,$A65,9999)</f>
        <v/>
      </c>
      <c r="BM65" s="57">
        <f>IF(BK65&gt;0,$A65,9999)</f>
        <v/>
      </c>
      <c r="BN65" s="55">
        <f>IF($A65-$D$15&lt;Premissas!$B$31,0,$C$15*(Premissas!$B$28+(Premissas!$B$29-Premissas!$B$28)*$A65/36)/(1+EXP(-Premissas!$B$33*($A65-$D$15-Premissas!$B$32))))</f>
        <v/>
      </c>
      <c r="BO65" s="56">
        <f>(BN65*$B$15+IF($A65&gt;=Premissas!$B$38+$D$15,$F$15,0))*(1-$E$15)*(1-Premissas!$B$53)</f>
        <v/>
      </c>
      <c r="BP65" s="56">
        <f>-(BN65*Premissas!$B$19+MAX(0,BN65-BN64)*Premissas!$B$24+IF($A65-$D$15&lt;=2,Premissas!$B$41,IF($A65-$D$15&lt;=5,Premissas!$B$42,IF($A65-$D$15&lt;=8,Premissas!$B$43,$G$15)))+IF($A65=1+$D$15,Premissas!$B$47,IF($A65=3+$D$15,Premissas!$B$48,IF($A65=6+$D$15,Premissas!$B$49,0))))</f>
        <v/>
      </c>
      <c r="BQ65" s="56">
        <f>BO65+BP65</f>
        <v/>
      </c>
      <c r="BR65" s="56">
        <f>BR64+BQ65</f>
        <v/>
      </c>
      <c r="BS65" s="57">
        <f>IF(BQ65&gt;0,$A65,9999)</f>
        <v/>
      </c>
      <c r="BT65" s="57">
        <f>IF(BR65&gt;0,$A65,9999)</f>
        <v/>
      </c>
    </row>
    <row r="66">
      <c r="A66" s="12" t="n">
        <v>31</v>
      </c>
      <c r="C66" s="55">
        <f>IF($A66-$D$6&lt;Premissas!$B$31,0,$C$6*(Premissas!$B$28+(Premissas!$B$29-Premissas!$B$28)*$A66/36)/(1+EXP(-Premissas!$B$33*($A66-$D$6-Premissas!$B$32))))</f>
        <v/>
      </c>
      <c r="D66" s="56">
        <f>(C66*$B$6+IF($A66&gt;=Premissas!$B$38+$D$6,$F$6,0))*(1-$E$6)*(1-Premissas!$B$53)</f>
        <v/>
      </c>
      <c r="E66" s="56">
        <f>-(C66*Premissas!$B$19+MAX(0,C66-C65)*Premissas!$B$24+IF($A66-$D$6&lt;=2,Premissas!$B$41,IF($A66-$D$6&lt;=5,Premissas!$B$42,IF($A66-$D$6&lt;=8,Premissas!$B$43,$G$6)))+IF($A66=1+$D$6,Premissas!$B$47,IF($A66=3+$D$6,Premissas!$B$48,IF($A66=6+$D$6,Premissas!$B$49,0))))</f>
        <v/>
      </c>
      <c r="F66" s="56">
        <f>D66+E66</f>
        <v/>
      </c>
      <c r="G66" s="56">
        <f>G65+F66</f>
        <v/>
      </c>
      <c r="H66" s="57">
        <f>IF(F66&gt;0,$A66,9999)</f>
        <v/>
      </c>
      <c r="I66" s="57">
        <f>IF(G66&gt;0,$A66,9999)</f>
        <v/>
      </c>
      <c r="J66" s="55">
        <f>IF($A66-$D$7&lt;Premissas!$B$31,0,$C$7*(Premissas!$B$28+(Premissas!$B$29-Premissas!$B$28)*$A66/36)/(1+EXP(-Premissas!$B$33*($A66-$D$7-Premissas!$B$32))))</f>
        <v/>
      </c>
      <c r="K66" s="56">
        <f>(J66*$B$7+IF($A66&gt;=Premissas!$B$38+$D$7,$F$7,0))*(1-$E$7)*(1-Premissas!$B$53)</f>
        <v/>
      </c>
      <c r="L66" s="56">
        <f>-(J66*Premissas!$B$19+MAX(0,J66-J65)*Premissas!$B$24+IF($A66-$D$7&lt;=2,Premissas!$B$41,IF($A66-$D$7&lt;=5,Premissas!$B$42,IF($A66-$D$7&lt;=8,Premissas!$B$43,$G$7)))+IF($A66=1+$D$7,Premissas!$B$47,IF($A66=3+$D$7,Premissas!$B$48,IF($A66=6+$D$7,Premissas!$B$49,0))))</f>
        <v/>
      </c>
      <c r="M66" s="56">
        <f>K66+L66</f>
        <v/>
      </c>
      <c r="N66" s="56">
        <f>N65+M66</f>
        <v/>
      </c>
      <c r="O66" s="57">
        <f>IF(M66&gt;0,$A66,9999)</f>
        <v/>
      </c>
      <c r="P66" s="57">
        <f>IF(N66&gt;0,$A66,9999)</f>
        <v/>
      </c>
      <c r="Q66" s="55">
        <f>IF($A66-$D$8&lt;Premissas!$B$31,0,$C$8*(Premissas!$B$28+(Premissas!$B$29-Premissas!$B$28)*$A66/36)/(1+EXP(-Premissas!$B$33*($A66-$D$8-Premissas!$B$32))))</f>
        <v/>
      </c>
      <c r="R66" s="56">
        <f>(Q66*$B$8+IF($A66&gt;=Premissas!$B$38+$D$8,$F$8,0))*(1-$E$8)*(1-Premissas!$B$53)</f>
        <v/>
      </c>
      <c r="S66" s="56">
        <f>-(Q66*Premissas!$B$19+MAX(0,Q66-Q65)*Premissas!$B$24+IF($A66-$D$8&lt;=2,Premissas!$B$41,IF($A66-$D$8&lt;=5,Premissas!$B$42,IF($A66-$D$8&lt;=8,Premissas!$B$43,$G$8)))+IF($A66=1+$D$8,Premissas!$B$47,IF($A66=3+$D$8,Premissas!$B$48,IF($A66=6+$D$8,Premissas!$B$49,0))))</f>
        <v/>
      </c>
      <c r="T66" s="56">
        <f>R66+S66</f>
        <v/>
      </c>
      <c r="U66" s="56">
        <f>U65+T66</f>
        <v/>
      </c>
      <c r="V66" s="57">
        <f>IF(T66&gt;0,$A66,9999)</f>
        <v/>
      </c>
      <c r="W66" s="57">
        <f>IF(U66&gt;0,$A66,9999)</f>
        <v/>
      </c>
      <c r="X66" s="55">
        <f>IF($A66-$D$9&lt;Premissas!$B$31,0,$C$9*(Premissas!$B$28+(Premissas!$B$29-Premissas!$B$28)*$A66/36)/(1+EXP(-Premissas!$B$33*($A66-$D$9-Premissas!$B$32))))</f>
        <v/>
      </c>
      <c r="Y66" s="56">
        <f>(X66*$B$9+IF($A66&gt;=Premissas!$B$38+$D$9,$F$9,0))*(1-$E$9)*(1-Premissas!$B$53)</f>
        <v/>
      </c>
      <c r="Z66" s="56">
        <f>-(X66*Premissas!$B$19+MAX(0,X66-X65)*Premissas!$B$24+IF($A66-$D$9&lt;=2,Premissas!$B$41,IF($A66-$D$9&lt;=5,Premissas!$B$42,IF($A66-$D$9&lt;=8,Premissas!$B$43,$G$9)))+IF($A66=1+$D$9,Premissas!$B$47,IF($A66=3+$D$9,Premissas!$B$48,IF($A66=6+$D$9,Premissas!$B$49,0))))</f>
        <v/>
      </c>
      <c r="AA66" s="56">
        <f>Y66+Z66</f>
        <v/>
      </c>
      <c r="AB66" s="56">
        <f>AB65+AA66</f>
        <v/>
      </c>
      <c r="AC66" s="57">
        <f>IF(AA66&gt;0,$A66,9999)</f>
        <v/>
      </c>
      <c r="AD66" s="57">
        <f>IF(AB66&gt;0,$A66,9999)</f>
        <v/>
      </c>
      <c r="AE66" s="55">
        <f>IF($A66-$D$10&lt;Premissas!$B$31,0,$C$10*(Premissas!$B$28+(Premissas!$B$29-Premissas!$B$28)*$A66/36)/(1+EXP(-Premissas!$B$33*($A66-$D$10-Premissas!$B$32))))</f>
        <v/>
      </c>
      <c r="AF66" s="56">
        <f>(AE66*$B$10+IF($A66&gt;=Premissas!$B$38+$D$10,$F$10,0))*(1-$E$10)*(1-Premissas!$B$53)</f>
        <v/>
      </c>
      <c r="AG66" s="56">
        <f>-(AE66*Premissas!$B$19+MAX(0,AE66-AE65)*Premissas!$B$24+IF($A66-$D$10&lt;=2,Premissas!$B$41,IF($A66-$D$10&lt;=5,Premissas!$B$42,IF($A66-$D$10&lt;=8,Premissas!$B$43,$G$10)))+IF($A66=1+$D$10,Premissas!$B$47,IF($A66=3+$D$10,Premissas!$B$48,IF($A66=6+$D$10,Premissas!$B$49,0))))</f>
        <v/>
      </c>
      <c r="AH66" s="56">
        <f>AF66+AG66</f>
        <v/>
      </c>
      <c r="AI66" s="56">
        <f>AI65+AH66</f>
        <v/>
      </c>
      <c r="AJ66" s="57">
        <f>IF(AH66&gt;0,$A66,9999)</f>
        <v/>
      </c>
      <c r="AK66" s="57">
        <f>IF(AI66&gt;0,$A66,9999)</f>
        <v/>
      </c>
      <c r="AL66" s="55">
        <f>IF($A66-$D$11&lt;Premissas!$B$31,0,$C$11*(Premissas!$B$28+(Premissas!$B$29-Premissas!$B$28)*$A66/36)/(1+EXP(-Premissas!$B$33*($A66-$D$11-Premissas!$B$32))))</f>
        <v/>
      </c>
      <c r="AM66" s="56">
        <f>(AL66*$B$11+IF($A66&gt;=Premissas!$B$38+$D$11,$F$11,0))*(1-$E$11)*(1-Premissas!$B$53)</f>
        <v/>
      </c>
      <c r="AN66" s="56">
        <f>-(AL66*Premissas!$B$19+MAX(0,AL66-AL65)*Premissas!$B$24+IF($A66-$D$11&lt;=2,Premissas!$B$41,IF($A66-$D$11&lt;=5,Premissas!$B$42,IF($A66-$D$11&lt;=8,Premissas!$B$43,$G$11)))+IF($A66=1+$D$11,Premissas!$B$47,IF($A66=3+$D$11,Premissas!$B$48,IF($A66=6+$D$11,Premissas!$B$49,0))))</f>
        <v/>
      </c>
      <c r="AO66" s="56">
        <f>AM66+AN66</f>
        <v/>
      </c>
      <c r="AP66" s="56">
        <f>AP65+AO66</f>
        <v/>
      </c>
      <c r="AQ66" s="57">
        <f>IF(AO66&gt;0,$A66,9999)</f>
        <v/>
      </c>
      <c r="AR66" s="57">
        <f>IF(AP66&gt;0,$A66,9999)</f>
        <v/>
      </c>
      <c r="AS66" s="55">
        <f>IF($A66-$D$12&lt;Premissas!$B$31,0,$C$12*(Premissas!$B$28+(Premissas!$B$29-Premissas!$B$28)*$A66/36)/(1+EXP(-Premissas!$B$33*($A66-$D$12-Premissas!$B$32))))</f>
        <v/>
      </c>
      <c r="AT66" s="56">
        <f>(AS66*$B$12+IF($A66&gt;=Premissas!$B$38+$D$12,$F$12,0))*(1-$E$12)*(1-Premissas!$B$53)</f>
        <v/>
      </c>
      <c r="AU66" s="56">
        <f>-(AS66*Premissas!$B$19+MAX(0,AS66-AS65)*Premissas!$B$24+IF($A66-$D$12&lt;=2,Premissas!$B$41,IF($A66-$D$12&lt;=5,Premissas!$B$42,IF($A66-$D$12&lt;=8,Premissas!$B$43,$G$12)))+IF($A66=1+$D$12,Premissas!$B$47,IF($A66=3+$D$12,Premissas!$B$48,IF($A66=6+$D$12,Premissas!$B$49,0))))</f>
        <v/>
      </c>
      <c r="AV66" s="56">
        <f>AT66+AU66</f>
        <v/>
      </c>
      <c r="AW66" s="56">
        <f>AW65+AV66</f>
        <v/>
      </c>
      <c r="AX66" s="57">
        <f>IF(AV66&gt;0,$A66,9999)</f>
        <v/>
      </c>
      <c r="AY66" s="57">
        <f>IF(AW66&gt;0,$A66,9999)</f>
        <v/>
      </c>
      <c r="AZ66" s="55">
        <f>IF($A66-$D$13&lt;Premissas!$B$31,0,$C$13*(Premissas!$B$28+(Premissas!$B$29-Premissas!$B$28)*$A66/36)/(1+EXP(-Premissas!$B$33*($A66-$D$13-Premissas!$B$32))))</f>
        <v/>
      </c>
      <c r="BA66" s="56">
        <f>(AZ66*$B$13+IF($A66&gt;=Premissas!$B$38+$D$13,$F$13,0))*(1-$E$13)*(1-Premissas!$B$53)</f>
        <v/>
      </c>
      <c r="BB66" s="56">
        <f>-(AZ66*Premissas!$B$19+MAX(0,AZ66-AZ65)*Premissas!$B$24+IF($A66-$D$13&lt;=2,Premissas!$B$41,IF($A66-$D$13&lt;=5,Premissas!$B$42,IF($A66-$D$13&lt;=8,Premissas!$B$43,$G$13)))+IF($A66=1+$D$13,Premissas!$B$47,IF($A66=3+$D$13,Premissas!$B$48,IF($A66=6+$D$13,Premissas!$B$49,0))))</f>
        <v/>
      </c>
      <c r="BC66" s="56">
        <f>BA66+BB66</f>
        <v/>
      </c>
      <c r="BD66" s="56">
        <f>BD65+BC66</f>
        <v/>
      </c>
      <c r="BE66" s="57">
        <f>IF(BC66&gt;0,$A66,9999)</f>
        <v/>
      </c>
      <c r="BF66" s="57">
        <f>IF(BD66&gt;0,$A66,9999)</f>
        <v/>
      </c>
      <c r="BG66" s="55">
        <f>IF($A66-$D$14&lt;Premissas!$B$31,0,$C$14*(Premissas!$B$28+(Premissas!$B$29-Premissas!$B$28)*$A66/36)/(1+EXP(-Premissas!$B$33*($A66-$D$14-Premissas!$B$32))))</f>
        <v/>
      </c>
      <c r="BH66" s="56">
        <f>(BG66*$B$14+IF($A66&gt;=Premissas!$B$38+$D$14,$F$14,0))*(1-$E$14)*(1-Premissas!$B$53)</f>
        <v/>
      </c>
      <c r="BI66" s="56">
        <f>-(BG66*Premissas!$B$19+MAX(0,BG66-BG65)*Premissas!$B$24+IF($A66-$D$14&lt;=2,Premissas!$B$41,IF($A66-$D$14&lt;=5,Premissas!$B$42,IF($A66-$D$14&lt;=8,Premissas!$B$43,$G$14)))+IF($A66=1+$D$14,Premissas!$B$47,IF($A66=3+$D$14,Premissas!$B$48,IF($A66=6+$D$14,Premissas!$B$49,0))))</f>
        <v/>
      </c>
      <c r="BJ66" s="56">
        <f>BH66+BI66</f>
        <v/>
      </c>
      <c r="BK66" s="56">
        <f>BK65+BJ66</f>
        <v/>
      </c>
      <c r="BL66" s="57">
        <f>IF(BJ66&gt;0,$A66,9999)</f>
        <v/>
      </c>
      <c r="BM66" s="57">
        <f>IF(BK66&gt;0,$A66,9999)</f>
        <v/>
      </c>
      <c r="BN66" s="55">
        <f>IF($A66-$D$15&lt;Premissas!$B$31,0,$C$15*(Premissas!$B$28+(Premissas!$B$29-Premissas!$B$28)*$A66/36)/(1+EXP(-Premissas!$B$33*($A66-$D$15-Premissas!$B$32))))</f>
        <v/>
      </c>
      <c r="BO66" s="56">
        <f>(BN66*$B$15+IF($A66&gt;=Premissas!$B$38+$D$15,$F$15,0))*(1-$E$15)*(1-Premissas!$B$53)</f>
        <v/>
      </c>
      <c r="BP66" s="56">
        <f>-(BN66*Premissas!$B$19+MAX(0,BN66-BN65)*Premissas!$B$24+IF($A66-$D$15&lt;=2,Premissas!$B$41,IF($A66-$D$15&lt;=5,Premissas!$B$42,IF($A66-$D$15&lt;=8,Premissas!$B$43,$G$15)))+IF($A66=1+$D$15,Premissas!$B$47,IF($A66=3+$D$15,Premissas!$B$48,IF($A66=6+$D$15,Premissas!$B$49,0))))</f>
        <v/>
      </c>
      <c r="BQ66" s="56">
        <f>BO66+BP66</f>
        <v/>
      </c>
      <c r="BR66" s="56">
        <f>BR65+BQ66</f>
        <v/>
      </c>
      <c r="BS66" s="57">
        <f>IF(BQ66&gt;0,$A66,9999)</f>
        <v/>
      </c>
      <c r="BT66" s="57">
        <f>IF(BR66&gt;0,$A66,9999)</f>
        <v/>
      </c>
    </row>
    <row r="67">
      <c r="A67" s="12" t="n">
        <v>32</v>
      </c>
      <c r="C67" s="55">
        <f>IF($A67-$D$6&lt;Premissas!$B$31,0,$C$6*(Premissas!$B$28+(Premissas!$B$29-Premissas!$B$28)*$A67/36)/(1+EXP(-Premissas!$B$33*($A67-$D$6-Premissas!$B$32))))</f>
        <v/>
      </c>
      <c r="D67" s="56">
        <f>(C67*$B$6+IF($A67&gt;=Premissas!$B$38+$D$6,$F$6,0))*(1-$E$6)*(1-Premissas!$B$53)</f>
        <v/>
      </c>
      <c r="E67" s="56">
        <f>-(C67*Premissas!$B$19+MAX(0,C67-C66)*Premissas!$B$24+IF($A67-$D$6&lt;=2,Premissas!$B$41,IF($A67-$D$6&lt;=5,Premissas!$B$42,IF($A67-$D$6&lt;=8,Premissas!$B$43,$G$6)))+IF($A67=1+$D$6,Premissas!$B$47,IF($A67=3+$D$6,Premissas!$B$48,IF($A67=6+$D$6,Premissas!$B$49,0))))</f>
        <v/>
      </c>
      <c r="F67" s="56">
        <f>D67+E67</f>
        <v/>
      </c>
      <c r="G67" s="56">
        <f>G66+F67</f>
        <v/>
      </c>
      <c r="H67" s="57">
        <f>IF(F67&gt;0,$A67,9999)</f>
        <v/>
      </c>
      <c r="I67" s="57">
        <f>IF(G67&gt;0,$A67,9999)</f>
        <v/>
      </c>
      <c r="J67" s="55">
        <f>IF($A67-$D$7&lt;Premissas!$B$31,0,$C$7*(Premissas!$B$28+(Premissas!$B$29-Premissas!$B$28)*$A67/36)/(1+EXP(-Premissas!$B$33*($A67-$D$7-Premissas!$B$32))))</f>
        <v/>
      </c>
      <c r="K67" s="56">
        <f>(J67*$B$7+IF($A67&gt;=Premissas!$B$38+$D$7,$F$7,0))*(1-$E$7)*(1-Premissas!$B$53)</f>
        <v/>
      </c>
      <c r="L67" s="56">
        <f>-(J67*Premissas!$B$19+MAX(0,J67-J66)*Premissas!$B$24+IF($A67-$D$7&lt;=2,Premissas!$B$41,IF($A67-$D$7&lt;=5,Premissas!$B$42,IF($A67-$D$7&lt;=8,Premissas!$B$43,$G$7)))+IF($A67=1+$D$7,Premissas!$B$47,IF($A67=3+$D$7,Premissas!$B$48,IF($A67=6+$D$7,Premissas!$B$49,0))))</f>
        <v/>
      </c>
      <c r="M67" s="56">
        <f>K67+L67</f>
        <v/>
      </c>
      <c r="N67" s="56">
        <f>N66+M67</f>
        <v/>
      </c>
      <c r="O67" s="57">
        <f>IF(M67&gt;0,$A67,9999)</f>
        <v/>
      </c>
      <c r="P67" s="57">
        <f>IF(N67&gt;0,$A67,9999)</f>
        <v/>
      </c>
      <c r="Q67" s="55">
        <f>IF($A67-$D$8&lt;Premissas!$B$31,0,$C$8*(Premissas!$B$28+(Premissas!$B$29-Premissas!$B$28)*$A67/36)/(1+EXP(-Premissas!$B$33*($A67-$D$8-Premissas!$B$32))))</f>
        <v/>
      </c>
      <c r="R67" s="56">
        <f>(Q67*$B$8+IF($A67&gt;=Premissas!$B$38+$D$8,$F$8,0))*(1-$E$8)*(1-Premissas!$B$53)</f>
        <v/>
      </c>
      <c r="S67" s="56">
        <f>-(Q67*Premissas!$B$19+MAX(0,Q67-Q66)*Premissas!$B$24+IF($A67-$D$8&lt;=2,Premissas!$B$41,IF($A67-$D$8&lt;=5,Premissas!$B$42,IF($A67-$D$8&lt;=8,Premissas!$B$43,$G$8)))+IF($A67=1+$D$8,Premissas!$B$47,IF($A67=3+$D$8,Premissas!$B$48,IF($A67=6+$D$8,Premissas!$B$49,0))))</f>
        <v/>
      </c>
      <c r="T67" s="56">
        <f>R67+S67</f>
        <v/>
      </c>
      <c r="U67" s="56">
        <f>U66+T67</f>
        <v/>
      </c>
      <c r="V67" s="57">
        <f>IF(T67&gt;0,$A67,9999)</f>
        <v/>
      </c>
      <c r="W67" s="57">
        <f>IF(U67&gt;0,$A67,9999)</f>
        <v/>
      </c>
      <c r="X67" s="55">
        <f>IF($A67-$D$9&lt;Premissas!$B$31,0,$C$9*(Premissas!$B$28+(Premissas!$B$29-Premissas!$B$28)*$A67/36)/(1+EXP(-Premissas!$B$33*($A67-$D$9-Premissas!$B$32))))</f>
        <v/>
      </c>
      <c r="Y67" s="56">
        <f>(X67*$B$9+IF($A67&gt;=Premissas!$B$38+$D$9,$F$9,0))*(1-$E$9)*(1-Premissas!$B$53)</f>
        <v/>
      </c>
      <c r="Z67" s="56">
        <f>-(X67*Premissas!$B$19+MAX(0,X67-X66)*Premissas!$B$24+IF($A67-$D$9&lt;=2,Premissas!$B$41,IF($A67-$D$9&lt;=5,Premissas!$B$42,IF($A67-$D$9&lt;=8,Premissas!$B$43,$G$9)))+IF($A67=1+$D$9,Premissas!$B$47,IF($A67=3+$D$9,Premissas!$B$48,IF($A67=6+$D$9,Premissas!$B$49,0))))</f>
        <v/>
      </c>
      <c r="AA67" s="56">
        <f>Y67+Z67</f>
        <v/>
      </c>
      <c r="AB67" s="56">
        <f>AB66+AA67</f>
        <v/>
      </c>
      <c r="AC67" s="57">
        <f>IF(AA67&gt;0,$A67,9999)</f>
        <v/>
      </c>
      <c r="AD67" s="57">
        <f>IF(AB67&gt;0,$A67,9999)</f>
        <v/>
      </c>
      <c r="AE67" s="55">
        <f>IF($A67-$D$10&lt;Premissas!$B$31,0,$C$10*(Premissas!$B$28+(Premissas!$B$29-Premissas!$B$28)*$A67/36)/(1+EXP(-Premissas!$B$33*($A67-$D$10-Premissas!$B$32))))</f>
        <v/>
      </c>
      <c r="AF67" s="56">
        <f>(AE67*$B$10+IF($A67&gt;=Premissas!$B$38+$D$10,$F$10,0))*(1-$E$10)*(1-Premissas!$B$53)</f>
        <v/>
      </c>
      <c r="AG67" s="56">
        <f>-(AE67*Premissas!$B$19+MAX(0,AE67-AE66)*Premissas!$B$24+IF($A67-$D$10&lt;=2,Premissas!$B$41,IF($A67-$D$10&lt;=5,Premissas!$B$42,IF($A67-$D$10&lt;=8,Premissas!$B$43,$G$10)))+IF($A67=1+$D$10,Premissas!$B$47,IF($A67=3+$D$10,Premissas!$B$48,IF($A67=6+$D$10,Premissas!$B$49,0))))</f>
        <v/>
      </c>
      <c r="AH67" s="56">
        <f>AF67+AG67</f>
        <v/>
      </c>
      <c r="AI67" s="56">
        <f>AI66+AH67</f>
        <v/>
      </c>
      <c r="AJ67" s="57">
        <f>IF(AH67&gt;0,$A67,9999)</f>
        <v/>
      </c>
      <c r="AK67" s="57">
        <f>IF(AI67&gt;0,$A67,9999)</f>
        <v/>
      </c>
      <c r="AL67" s="55">
        <f>IF($A67-$D$11&lt;Premissas!$B$31,0,$C$11*(Premissas!$B$28+(Premissas!$B$29-Premissas!$B$28)*$A67/36)/(1+EXP(-Premissas!$B$33*($A67-$D$11-Premissas!$B$32))))</f>
        <v/>
      </c>
      <c r="AM67" s="56">
        <f>(AL67*$B$11+IF($A67&gt;=Premissas!$B$38+$D$11,$F$11,0))*(1-$E$11)*(1-Premissas!$B$53)</f>
        <v/>
      </c>
      <c r="AN67" s="56">
        <f>-(AL67*Premissas!$B$19+MAX(0,AL67-AL66)*Premissas!$B$24+IF($A67-$D$11&lt;=2,Premissas!$B$41,IF($A67-$D$11&lt;=5,Premissas!$B$42,IF($A67-$D$11&lt;=8,Premissas!$B$43,$G$11)))+IF($A67=1+$D$11,Premissas!$B$47,IF($A67=3+$D$11,Premissas!$B$48,IF($A67=6+$D$11,Premissas!$B$49,0))))</f>
        <v/>
      </c>
      <c r="AO67" s="56">
        <f>AM67+AN67</f>
        <v/>
      </c>
      <c r="AP67" s="56">
        <f>AP66+AO67</f>
        <v/>
      </c>
      <c r="AQ67" s="57">
        <f>IF(AO67&gt;0,$A67,9999)</f>
        <v/>
      </c>
      <c r="AR67" s="57">
        <f>IF(AP67&gt;0,$A67,9999)</f>
        <v/>
      </c>
      <c r="AS67" s="55">
        <f>IF($A67-$D$12&lt;Premissas!$B$31,0,$C$12*(Premissas!$B$28+(Premissas!$B$29-Premissas!$B$28)*$A67/36)/(1+EXP(-Premissas!$B$33*($A67-$D$12-Premissas!$B$32))))</f>
        <v/>
      </c>
      <c r="AT67" s="56">
        <f>(AS67*$B$12+IF($A67&gt;=Premissas!$B$38+$D$12,$F$12,0))*(1-$E$12)*(1-Premissas!$B$53)</f>
        <v/>
      </c>
      <c r="AU67" s="56">
        <f>-(AS67*Premissas!$B$19+MAX(0,AS67-AS66)*Premissas!$B$24+IF($A67-$D$12&lt;=2,Premissas!$B$41,IF($A67-$D$12&lt;=5,Premissas!$B$42,IF($A67-$D$12&lt;=8,Premissas!$B$43,$G$12)))+IF($A67=1+$D$12,Premissas!$B$47,IF($A67=3+$D$12,Premissas!$B$48,IF($A67=6+$D$12,Premissas!$B$49,0))))</f>
        <v/>
      </c>
      <c r="AV67" s="56">
        <f>AT67+AU67</f>
        <v/>
      </c>
      <c r="AW67" s="56">
        <f>AW66+AV67</f>
        <v/>
      </c>
      <c r="AX67" s="57">
        <f>IF(AV67&gt;0,$A67,9999)</f>
        <v/>
      </c>
      <c r="AY67" s="57">
        <f>IF(AW67&gt;0,$A67,9999)</f>
        <v/>
      </c>
      <c r="AZ67" s="55">
        <f>IF($A67-$D$13&lt;Premissas!$B$31,0,$C$13*(Premissas!$B$28+(Premissas!$B$29-Premissas!$B$28)*$A67/36)/(1+EXP(-Premissas!$B$33*($A67-$D$13-Premissas!$B$32))))</f>
        <v/>
      </c>
      <c r="BA67" s="56">
        <f>(AZ67*$B$13+IF($A67&gt;=Premissas!$B$38+$D$13,$F$13,0))*(1-$E$13)*(1-Premissas!$B$53)</f>
        <v/>
      </c>
      <c r="BB67" s="56">
        <f>-(AZ67*Premissas!$B$19+MAX(0,AZ67-AZ66)*Premissas!$B$24+IF($A67-$D$13&lt;=2,Premissas!$B$41,IF($A67-$D$13&lt;=5,Premissas!$B$42,IF($A67-$D$13&lt;=8,Premissas!$B$43,$G$13)))+IF($A67=1+$D$13,Premissas!$B$47,IF($A67=3+$D$13,Premissas!$B$48,IF($A67=6+$D$13,Premissas!$B$49,0))))</f>
        <v/>
      </c>
      <c r="BC67" s="56">
        <f>BA67+BB67</f>
        <v/>
      </c>
      <c r="BD67" s="56">
        <f>BD66+BC67</f>
        <v/>
      </c>
      <c r="BE67" s="57">
        <f>IF(BC67&gt;0,$A67,9999)</f>
        <v/>
      </c>
      <c r="BF67" s="57">
        <f>IF(BD67&gt;0,$A67,9999)</f>
        <v/>
      </c>
      <c r="BG67" s="55">
        <f>IF($A67-$D$14&lt;Premissas!$B$31,0,$C$14*(Premissas!$B$28+(Premissas!$B$29-Premissas!$B$28)*$A67/36)/(1+EXP(-Premissas!$B$33*($A67-$D$14-Premissas!$B$32))))</f>
        <v/>
      </c>
      <c r="BH67" s="56">
        <f>(BG67*$B$14+IF($A67&gt;=Premissas!$B$38+$D$14,$F$14,0))*(1-$E$14)*(1-Premissas!$B$53)</f>
        <v/>
      </c>
      <c r="BI67" s="56">
        <f>-(BG67*Premissas!$B$19+MAX(0,BG67-BG66)*Premissas!$B$24+IF($A67-$D$14&lt;=2,Premissas!$B$41,IF($A67-$D$14&lt;=5,Premissas!$B$42,IF($A67-$D$14&lt;=8,Premissas!$B$43,$G$14)))+IF($A67=1+$D$14,Premissas!$B$47,IF($A67=3+$D$14,Premissas!$B$48,IF($A67=6+$D$14,Premissas!$B$49,0))))</f>
        <v/>
      </c>
      <c r="BJ67" s="56">
        <f>BH67+BI67</f>
        <v/>
      </c>
      <c r="BK67" s="56">
        <f>BK66+BJ67</f>
        <v/>
      </c>
      <c r="BL67" s="57">
        <f>IF(BJ67&gt;0,$A67,9999)</f>
        <v/>
      </c>
      <c r="BM67" s="57">
        <f>IF(BK67&gt;0,$A67,9999)</f>
        <v/>
      </c>
      <c r="BN67" s="55">
        <f>IF($A67-$D$15&lt;Premissas!$B$31,0,$C$15*(Premissas!$B$28+(Premissas!$B$29-Premissas!$B$28)*$A67/36)/(1+EXP(-Premissas!$B$33*($A67-$D$15-Premissas!$B$32))))</f>
        <v/>
      </c>
      <c r="BO67" s="56">
        <f>(BN67*$B$15+IF($A67&gt;=Premissas!$B$38+$D$15,$F$15,0))*(1-$E$15)*(1-Premissas!$B$53)</f>
        <v/>
      </c>
      <c r="BP67" s="56">
        <f>-(BN67*Premissas!$B$19+MAX(0,BN67-BN66)*Premissas!$B$24+IF($A67-$D$15&lt;=2,Premissas!$B$41,IF($A67-$D$15&lt;=5,Premissas!$B$42,IF($A67-$D$15&lt;=8,Premissas!$B$43,$G$15)))+IF($A67=1+$D$15,Premissas!$B$47,IF($A67=3+$D$15,Premissas!$B$48,IF($A67=6+$D$15,Premissas!$B$49,0))))</f>
        <v/>
      </c>
      <c r="BQ67" s="56">
        <f>BO67+BP67</f>
        <v/>
      </c>
      <c r="BR67" s="56">
        <f>BR66+BQ67</f>
        <v/>
      </c>
      <c r="BS67" s="57">
        <f>IF(BQ67&gt;0,$A67,9999)</f>
        <v/>
      </c>
      <c r="BT67" s="57">
        <f>IF(BR67&gt;0,$A67,9999)</f>
        <v/>
      </c>
    </row>
    <row r="68">
      <c r="A68" s="12" t="n">
        <v>33</v>
      </c>
      <c r="C68" s="55">
        <f>IF($A68-$D$6&lt;Premissas!$B$31,0,$C$6*(Premissas!$B$28+(Premissas!$B$29-Premissas!$B$28)*$A68/36)/(1+EXP(-Premissas!$B$33*($A68-$D$6-Premissas!$B$32))))</f>
        <v/>
      </c>
      <c r="D68" s="56">
        <f>(C68*$B$6+IF($A68&gt;=Premissas!$B$38+$D$6,$F$6,0))*(1-$E$6)*(1-Premissas!$B$53)</f>
        <v/>
      </c>
      <c r="E68" s="56">
        <f>-(C68*Premissas!$B$19+MAX(0,C68-C67)*Premissas!$B$24+IF($A68-$D$6&lt;=2,Premissas!$B$41,IF($A68-$D$6&lt;=5,Premissas!$B$42,IF($A68-$D$6&lt;=8,Premissas!$B$43,$G$6)))+IF($A68=1+$D$6,Premissas!$B$47,IF($A68=3+$D$6,Premissas!$B$48,IF($A68=6+$D$6,Premissas!$B$49,0))))</f>
        <v/>
      </c>
      <c r="F68" s="56">
        <f>D68+E68</f>
        <v/>
      </c>
      <c r="G68" s="56">
        <f>G67+F68</f>
        <v/>
      </c>
      <c r="H68" s="57">
        <f>IF(F68&gt;0,$A68,9999)</f>
        <v/>
      </c>
      <c r="I68" s="57">
        <f>IF(G68&gt;0,$A68,9999)</f>
        <v/>
      </c>
      <c r="J68" s="55">
        <f>IF($A68-$D$7&lt;Premissas!$B$31,0,$C$7*(Premissas!$B$28+(Premissas!$B$29-Premissas!$B$28)*$A68/36)/(1+EXP(-Premissas!$B$33*($A68-$D$7-Premissas!$B$32))))</f>
        <v/>
      </c>
      <c r="K68" s="56">
        <f>(J68*$B$7+IF($A68&gt;=Premissas!$B$38+$D$7,$F$7,0))*(1-$E$7)*(1-Premissas!$B$53)</f>
        <v/>
      </c>
      <c r="L68" s="56">
        <f>-(J68*Premissas!$B$19+MAX(0,J68-J67)*Premissas!$B$24+IF($A68-$D$7&lt;=2,Premissas!$B$41,IF($A68-$D$7&lt;=5,Premissas!$B$42,IF($A68-$D$7&lt;=8,Premissas!$B$43,$G$7)))+IF($A68=1+$D$7,Premissas!$B$47,IF($A68=3+$D$7,Premissas!$B$48,IF($A68=6+$D$7,Premissas!$B$49,0))))</f>
        <v/>
      </c>
      <c r="M68" s="56">
        <f>K68+L68</f>
        <v/>
      </c>
      <c r="N68" s="56">
        <f>N67+M68</f>
        <v/>
      </c>
      <c r="O68" s="57">
        <f>IF(M68&gt;0,$A68,9999)</f>
        <v/>
      </c>
      <c r="P68" s="57">
        <f>IF(N68&gt;0,$A68,9999)</f>
        <v/>
      </c>
      <c r="Q68" s="55">
        <f>IF($A68-$D$8&lt;Premissas!$B$31,0,$C$8*(Premissas!$B$28+(Premissas!$B$29-Premissas!$B$28)*$A68/36)/(1+EXP(-Premissas!$B$33*($A68-$D$8-Premissas!$B$32))))</f>
        <v/>
      </c>
      <c r="R68" s="56">
        <f>(Q68*$B$8+IF($A68&gt;=Premissas!$B$38+$D$8,$F$8,0))*(1-$E$8)*(1-Premissas!$B$53)</f>
        <v/>
      </c>
      <c r="S68" s="56">
        <f>-(Q68*Premissas!$B$19+MAX(0,Q68-Q67)*Premissas!$B$24+IF($A68-$D$8&lt;=2,Premissas!$B$41,IF($A68-$D$8&lt;=5,Premissas!$B$42,IF($A68-$D$8&lt;=8,Premissas!$B$43,$G$8)))+IF($A68=1+$D$8,Premissas!$B$47,IF($A68=3+$D$8,Premissas!$B$48,IF($A68=6+$D$8,Premissas!$B$49,0))))</f>
        <v/>
      </c>
      <c r="T68" s="56">
        <f>R68+S68</f>
        <v/>
      </c>
      <c r="U68" s="56">
        <f>U67+T68</f>
        <v/>
      </c>
      <c r="V68" s="57">
        <f>IF(T68&gt;0,$A68,9999)</f>
        <v/>
      </c>
      <c r="W68" s="57">
        <f>IF(U68&gt;0,$A68,9999)</f>
        <v/>
      </c>
      <c r="X68" s="55">
        <f>IF($A68-$D$9&lt;Premissas!$B$31,0,$C$9*(Premissas!$B$28+(Premissas!$B$29-Premissas!$B$28)*$A68/36)/(1+EXP(-Premissas!$B$33*($A68-$D$9-Premissas!$B$32))))</f>
        <v/>
      </c>
      <c r="Y68" s="56">
        <f>(X68*$B$9+IF($A68&gt;=Premissas!$B$38+$D$9,$F$9,0))*(1-$E$9)*(1-Premissas!$B$53)</f>
        <v/>
      </c>
      <c r="Z68" s="56">
        <f>-(X68*Premissas!$B$19+MAX(0,X68-X67)*Premissas!$B$24+IF($A68-$D$9&lt;=2,Premissas!$B$41,IF($A68-$D$9&lt;=5,Premissas!$B$42,IF($A68-$D$9&lt;=8,Premissas!$B$43,$G$9)))+IF($A68=1+$D$9,Premissas!$B$47,IF($A68=3+$D$9,Premissas!$B$48,IF($A68=6+$D$9,Premissas!$B$49,0))))</f>
        <v/>
      </c>
      <c r="AA68" s="56">
        <f>Y68+Z68</f>
        <v/>
      </c>
      <c r="AB68" s="56">
        <f>AB67+AA68</f>
        <v/>
      </c>
      <c r="AC68" s="57">
        <f>IF(AA68&gt;0,$A68,9999)</f>
        <v/>
      </c>
      <c r="AD68" s="57">
        <f>IF(AB68&gt;0,$A68,9999)</f>
        <v/>
      </c>
      <c r="AE68" s="55">
        <f>IF($A68-$D$10&lt;Premissas!$B$31,0,$C$10*(Premissas!$B$28+(Premissas!$B$29-Premissas!$B$28)*$A68/36)/(1+EXP(-Premissas!$B$33*($A68-$D$10-Premissas!$B$32))))</f>
        <v/>
      </c>
      <c r="AF68" s="56">
        <f>(AE68*$B$10+IF($A68&gt;=Premissas!$B$38+$D$10,$F$10,0))*(1-$E$10)*(1-Premissas!$B$53)</f>
        <v/>
      </c>
      <c r="AG68" s="56">
        <f>-(AE68*Premissas!$B$19+MAX(0,AE68-AE67)*Premissas!$B$24+IF($A68-$D$10&lt;=2,Premissas!$B$41,IF($A68-$D$10&lt;=5,Premissas!$B$42,IF($A68-$D$10&lt;=8,Premissas!$B$43,$G$10)))+IF($A68=1+$D$10,Premissas!$B$47,IF($A68=3+$D$10,Premissas!$B$48,IF($A68=6+$D$10,Premissas!$B$49,0))))</f>
        <v/>
      </c>
      <c r="AH68" s="56">
        <f>AF68+AG68</f>
        <v/>
      </c>
      <c r="AI68" s="56">
        <f>AI67+AH68</f>
        <v/>
      </c>
      <c r="AJ68" s="57">
        <f>IF(AH68&gt;0,$A68,9999)</f>
        <v/>
      </c>
      <c r="AK68" s="57">
        <f>IF(AI68&gt;0,$A68,9999)</f>
        <v/>
      </c>
      <c r="AL68" s="55">
        <f>IF($A68-$D$11&lt;Premissas!$B$31,0,$C$11*(Premissas!$B$28+(Premissas!$B$29-Premissas!$B$28)*$A68/36)/(1+EXP(-Premissas!$B$33*($A68-$D$11-Premissas!$B$32))))</f>
        <v/>
      </c>
      <c r="AM68" s="56">
        <f>(AL68*$B$11+IF($A68&gt;=Premissas!$B$38+$D$11,$F$11,0))*(1-$E$11)*(1-Premissas!$B$53)</f>
        <v/>
      </c>
      <c r="AN68" s="56">
        <f>-(AL68*Premissas!$B$19+MAX(0,AL68-AL67)*Premissas!$B$24+IF($A68-$D$11&lt;=2,Premissas!$B$41,IF($A68-$D$11&lt;=5,Premissas!$B$42,IF($A68-$D$11&lt;=8,Premissas!$B$43,$G$11)))+IF($A68=1+$D$11,Premissas!$B$47,IF($A68=3+$D$11,Premissas!$B$48,IF($A68=6+$D$11,Premissas!$B$49,0))))</f>
        <v/>
      </c>
      <c r="AO68" s="56">
        <f>AM68+AN68</f>
        <v/>
      </c>
      <c r="AP68" s="56">
        <f>AP67+AO68</f>
        <v/>
      </c>
      <c r="AQ68" s="57">
        <f>IF(AO68&gt;0,$A68,9999)</f>
        <v/>
      </c>
      <c r="AR68" s="57">
        <f>IF(AP68&gt;0,$A68,9999)</f>
        <v/>
      </c>
      <c r="AS68" s="55">
        <f>IF($A68-$D$12&lt;Premissas!$B$31,0,$C$12*(Premissas!$B$28+(Premissas!$B$29-Premissas!$B$28)*$A68/36)/(1+EXP(-Premissas!$B$33*($A68-$D$12-Premissas!$B$32))))</f>
        <v/>
      </c>
      <c r="AT68" s="56">
        <f>(AS68*$B$12+IF($A68&gt;=Premissas!$B$38+$D$12,$F$12,0))*(1-$E$12)*(1-Premissas!$B$53)</f>
        <v/>
      </c>
      <c r="AU68" s="56">
        <f>-(AS68*Premissas!$B$19+MAX(0,AS68-AS67)*Premissas!$B$24+IF($A68-$D$12&lt;=2,Premissas!$B$41,IF($A68-$D$12&lt;=5,Premissas!$B$42,IF($A68-$D$12&lt;=8,Premissas!$B$43,$G$12)))+IF($A68=1+$D$12,Premissas!$B$47,IF($A68=3+$D$12,Premissas!$B$48,IF($A68=6+$D$12,Premissas!$B$49,0))))</f>
        <v/>
      </c>
      <c r="AV68" s="56">
        <f>AT68+AU68</f>
        <v/>
      </c>
      <c r="AW68" s="56">
        <f>AW67+AV68</f>
        <v/>
      </c>
      <c r="AX68" s="57">
        <f>IF(AV68&gt;0,$A68,9999)</f>
        <v/>
      </c>
      <c r="AY68" s="57">
        <f>IF(AW68&gt;0,$A68,9999)</f>
        <v/>
      </c>
      <c r="AZ68" s="55">
        <f>IF($A68-$D$13&lt;Premissas!$B$31,0,$C$13*(Premissas!$B$28+(Premissas!$B$29-Premissas!$B$28)*$A68/36)/(1+EXP(-Premissas!$B$33*($A68-$D$13-Premissas!$B$32))))</f>
        <v/>
      </c>
      <c r="BA68" s="56">
        <f>(AZ68*$B$13+IF($A68&gt;=Premissas!$B$38+$D$13,$F$13,0))*(1-$E$13)*(1-Premissas!$B$53)</f>
        <v/>
      </c>
      <c r="BB68" s="56">
        <f>-(AZ68*Premissas!$B$19+MAX(0,AZ68-AZ67)*Premissas!$B$24+IF($A68-$D$13&lt;=2,Premissas!$B$41,IF($A68-$D$13&lt;=5,Premissas!$B$42,IF($A68-$D$13&lt;=8,Premissas!$B$43,$G$13)))+IF($A68=1+$D$13,Premissas!$B$47,IF($A68=3+$D$13,Premissas!$B$48,IF($A68=6+$D$13,Premissas!$B$49,0))))</f>
        <v/>
      </c>
      <c r="BC68" s="56">
        <f>BA68+BB68</f>
        <v/>
      </c>
      <c r="BD68" s="56">
        <f>BD67+BC68</f>
        <v/>
      </c>
      <c r="BE68" s="57">
        <f>IF(BC68&gt;0,$A68,9999)</f>
        <v/>
      </c>
      <c r="BF68" s="57">
        <f>IF(BD68&gt;0,$A68,9999)</f>
        <v/>
      </c>
      <c r="BG68" s="55">
        <f>IF($A68-$D$14&lt;Premissas!$B$31,0,$C$14*(Premissas!$B$28+(Premissas!$B$29-Premissas!$B$28)*$A68/36)/(1+EXP(-Premissas!$B$33*($A68-$D$14-Premissas!$B$32))))</f>
        <v/>
      </c>
      <c r="BH68" s="56">
        <f>(BG68*$B$14+IF($A68&gt;=Premissas!$B$38+$D$14,$F$14,0))*(1-$E$14)*(1-Premissas!$B$53)</f>
        <v/>
      </c>
      <c r="BI68" s="56">
        <f>-(BG68*Premissas!$B$19+MAX(0,BG68-BG67)*Premissas!$B$24+IF($A68-$D$14&lt;=2,Premissas!$B$41,IF($A68-$D$14&lt;=5,Premissas!$B$42,IF($A68-$D$14&lt;=8,Premissas!$B$43,$G$14)))+IF($A68=1+$D$14,Premissas!$B$47,IF($A68=3+$D$14,Premissas!$B$48,IF($A68=6+$D$14,Premissas!$B$49,0))))</f>
        <v/>
      </c>
      <c r="BJ68" s="56">
        <f>BH68+BI68</f>
        <v/>
      </c>
      <c r="BK68" s="56">
        <f>BK67+BJ68</f>
        <v/>
      </c>
      <c r="BL68" s="57">
        <f>IF(BJ68&gt;0,$A68,9999)</f>
        <v/>
      </c>
      <c r="BM68" s="57">
        <f>IF(BK68&gt;0,$A68,9999)</f>
        <v/>
      </c>
      <c r="BN68" s="55">
        <f>IF($A68-$D$15&lt;Premissas!$B$31,0,$C$15*(Premissas!$B$28+(Premissas!$B$29-Premissas!$B$28)*$A68/36)/(1+EXP(-Premissas!$B$33*($A68-$D$15-Premissas!$B$32))))</f>
        <v/>
      </c>
      <c r="BO68" s="56">
        <f>(BN68*$B$15+IF($A68&gt;=Premissas!$B$38+$D$15,$F$15,0))*(1-$E$15)*(1-Premissas!$B$53)</f>
        <v/>
      </c>
      <c r="BP68" s="56">
        <f>-(BN68*Premissas!$B$19+MAX(0,BN68-BN67)*Premissas!$B$24+IF($A68-$D$15&lt;=2,Premissas!$B$41,IF($A68-$D$15&lt;=5,Premissas!$B$42,IF($A68-$D$15&lt;=8,Premissas!$B$43,$G$15)))+IF($A68=1+$D$15,Premissas!$B$47,IF($A68=3+$D$15,Premissas!$B$48,IF($A68=6+$D$15,Premissas!$B$49,0))))</f>
        <v/>
      </c>
      <c r="BQ68" s="56">
        <f>BO68+BP68</f>
        <v/>
      </c>
      <c r="BR68" s="56">
        <f>BR67+BQ68</f>
        <v/>
      </c>
      <c r="BS68" s="57">
        <f>IF(BQ68&gt;0,$A68,9999)</f>
        <v/>
      </c>
      <c r="BT68" s="57">
        <f>IF(BR68&gt;0,$A68,9999)</f>
        <v/>
      </c>
    </row>
    <row r="69">
      <c r="A69" s="12" t="n">
        <v>34</v>
      </c>
      <c r="C69" s="55">
        <f>IF($A69-$D$6&lt;Premissas!$B$31,0,$C$6*(Premissas!$B$28+(Premissas!$B$29-Premissas!$B$28)*$A69/36)/(1+EXP(-Premissas!$B$33*($A69-$D$6-Premissas!$B$32))))</f>
        <v/>
      </c>
      <c r="D69" s="56">
        <f>(C69*$B$6+IF($A69&gt;=Premissas!$B$38+$D$6,$F$6,0))*(1-$E$6)*(1-Premissas!$B$53)</f>
        <v/>
      </c>
      <c r="E69" s="56">
        <f>-(C69*Premissas!$B$19+MAX(0,C69-C68)*Premissas!$B$24+IF($A69-$D$6&lt;=2,Premissas!$B$41,IF($A69-$D$6&lt;=5,Premissas!$B$42,IF($A69-$D$6&lt;=8,Premissas!$B$43,$G$6)))+IF($A69=1+$D$6,Premissas!$B$47,IF($A69=3+$D$6,Premissas!$B$48,IF($A69=6+$D$6,Premissas!$B$49,0))))</f>
        <v/>
      </c>
      <c r="F69" s="56">
        <f>D69+E69</f>
        <v/>
      </c>
      <c r="G69" s="56">
        <f>G68+F69</f>
        <v/>
      </c>
      <c r="H69" s="57">
        <f>IF(F69&gt;0,$A69,9999)</f>
        <v/>
      </c>
      <c r="I69" s="57">
        <f>IF(G69&gt;0,$A69,9999)</f>
        <v/>
      </c>
      <c r="J69" s="55">
        <f>IF($A69-$D$7&lt;Premissas!$B$31,0,$C$7*(Premissas!$B$28+(Premissas!$B$29-Premissas!$B$28)*$A69/36)/(1+EXP(-Premissas!$B$33*($A69-$D$7-Premissas!$B$32))))</f>
        <v/>
      </c>
      <c r="K69" s="56">
        <f>(J69*$B$7+IF($A69&gt;=Premissas!$B$38+$D$7,$F$7,0))*(1-$E$7)*(1-Premissas!$B$53)</f>
        <v/>
      </c>
      <c r="L69" s="56">
        <f>-(J69*Premissas!$B$19+MAX(0,J69-J68)*Premissas!$B$24+IF($A69-$D$7&lt;=2,Premissas!$B$41,IF($A69-$D$7&lt;=5,Premissas!$B$42,IF($A69-$D$7&lt;=8,Premissas!$B$43,$G$7)))+IF($A69=1+$D$7,Premissas!$B$47,IF($A69=3+$D$7,Premissas!$B$48,IF($A69=6+$D$7,Premissas!$B$49,0))))</f>
        <v/>
      </c>
      <c r="M69" s="56">
        <f>K69+L69</f>
        <v/>
      </c>
      <c r="N69" s="56">
        <f>N68+M69</f>
        <v/>
      </c>
      <c r="O69" s="57">
        <f>IF(M69&gt;0,$A69,9999)</f>
        <v/>
      </c>
      <c r="P69" s="57">
        <f>IF(N69&gt;0,$A69,9999)</f>
        <v/>
      </c>
      <c r="Q69" s="55">
        <f>IF($A69-$D$8&lt;Premissas!$B$31,0,$C$8*(Premissas!$B$28+(Premissas!$B$29-Premissas!$B$28)*$A69/36)/(1+EXP(-Premissas!$B$33*($A69-$D$8-Premissas!$B$32))))</f>
        <v/>
      </c>
      <c r="R69" s="56">
        <f>(Q69*$B$8+IF($A69&gt;=Premissas!$B$38+$D$8,$F$8,0))*(1-$E$8)*(1-Premissas!$B$53)</f>
        <v/>
      </c>
      <c r="S69" s="56">
        <f>-(Q69*Premissas!$B$19+MAX(0,Q69-Q68)*Premissas!$B$24+IF($A69-$D$8&lt;=2,Premissas!$B$41,IF($A69-$D$8&lt;=5,Premissas!$B$42,IF($A69-$D$8&lt;=8,Premissas!$B$43,$G$8)))+IF($A69=1+$D$8,Premissas!$B$47,IF($A69=3+$D$8,Premissas!$B$48,IF($A69=6+$D$8,Premissas!$B$49,0))))</f>
        <v/>
      </c>
      <c r="T69" s="56">
        <f>R69+S69</f>
        <v/>
      </c>
      <c r="U69" s="56">
        <f>U68+T69</f>
        <v/>
      </c>
      <c r="V69" s="57">
        <f>IF(T69&gt;0,$A69,9999)</f>
        <v/>
      </c>
      <c r="W69" s="57">
        <f>IF(U69&gt;0,$A69,9999)</f>
        <v/>
      </c>
      <c r="X69" s="55">
        <f>IF($A69-$D$9&lt;Premissas!$B$31,0,$C$9*(Premissas!$B$28+(Premissas!$B$29-Premissas!$B$28)*$A69/36)/(1+EXP(-Premissas!$B$33*($A69-$D$9-Premissas!$B$32))))</f>
        <v/>
      </c>
      <c r="Y69" s="56">
        <f>(X69*$B$9+IF($A69&gt;=Premissas!$B$38+$D$9,$F$9,0))*(1-$E$9)*(1-Premissas!$B$53)</f>
        <v/>
      </c>
      <c r="Z69" s="56">
        <f>-(X69*Premissas!$B$19+MAX(0,X69-X68)*Premissas!$B$24+IF($A69-$D$9&lt;=2,Premissas!$B$41,IF($A69-$D$9&lt;=5,Premissas!$B$42,IF($A69-$D$9&lt;=8,Premissas!$B$43,$G$9)))+IF($A69=1+$D$9,Premissas!$B$47,IF($A69=3+$D$9,Premissas!$B$48,IF($A69=6+$D$9,Premissas!$B$49,0))))</f>
        <v/>
      </c>
      <c r="AA69" s="56">
        <f>Y69+Z69</f>
        <v/>
      </c>
      <c r="AB69" s="56">
        <f>AB68+AA69</f>
        <v/>
      </c>
      <c r="AC69" s="57">
        <f>IF(AA69&gt;0,$A69,9999)</f>
        <v/>
      </c>
      <c r="AD69" s="57">
        <f>IF(AB69&gt;0,$A69,9999)</f>
        <v/>
      </c>
      <c r="AE69" s="55">
        <f>IF($A69-$D$10&lt;Premissas!$B$31,0,$C$10*(Premissas!$B$28+(Premissas!$B$29-Premissas!$B$28)*$A69/36)/(1+EXP(-Premissas!$B$33*($A69-$D$10-Premissas!$B$32))))</f>
        <v/>
      </c>
      <c r="AF69" s="56">
        <f>(AE69*$B$10+IF($A69&gt;=Premissas!$B$38+$D$10,$F$10,0))*(1-$E$10)*(1-Premissas!$B$53)</f>
        <v/>
      </c>
      <c r="AG69" s="56">
        <f>-(AE69*Premissas!$B$19+MAX(0,AE69-AE68)*Premissas!$B$24+IF($A69-$D$10&lt;=2,Premissas!$B$41,IF($A69-$D$10&lt;=5,Premissas!$B$42,IF($A69-$D$10&lt;=8,Premissas!$B$43,$G$10)))+IF($A69=1+$D$10,Premissas!$B$47,IF($A69=3+$D$10,Premissas!$B$48,IF($A69=6+$D$10,Premissas!$B$49,0))))</f>
        <v/>
      </c>
      <c r="AH69" s="56">
        <f>AF69+AG69</f>
        <v/>
      </c>
      <c r="AI69" s="56">
        <f>AI68+AH69</f>
        <v/>
      </c>
      <c r="AJ69" s="57">
        <f>IF(AH69&gt;0,$A69,9999)</f>
        <v/>
      </c>
      <c r="AK69" s="57">
        <f>IF(AI69&gt;0,$A69,9999)</f>
        <v/>
      </c>
      <c r="AL69" s="55">
        <f>IF($A69-$D$11&lt;Premissas!$B$31,0,$C$11*(Premissas!$B$28+(Premissas!$B$29-Premissas!$B$28)*$A69/36)/(1+EXP(-Premissas!$B$33*($A69-$D$11-Premissas!$B$32))))</f>
        <v/>
      </c>
      <c r="AM69" s="56">
        <f>(AL69*$B$11+IF($A69&gt;=Premissas!$B$38+$D$11,$F$11,0))*(1-$E$11)*(1-Premissas!$B$53)</f>
        <v/>
      </c>
      <c r="AN69" s="56">
        <f>-(AL69*Premissas!$B$19+MAX(0,AL69-AL68)*Premissas!$B$24+IF($A69-$D$11&lt;=2,Premissas!$B$41,IF($A69-$D$11&lt;=5,Premissas!$B$42,IF($A69-$D$11&lt;=8,Premissas!$B$43,$G$11)))+IF($A69=1+$D$11,Premissas!$B$47,IF($A69=3+$D$11,Premissas!$B$48,IF($A69=6+$D$11,Premissas!$B$49,0))))</f>
        <v/>
      </c>
      <c r="AO69" s="56">
        <f>AM69+AN69</f>
        <v/>
      </c>
      <c r="AP69" s="56">
        <f>AP68+AO69</f>
        <v/>
      </c>
      <c r="AQ69" s="57">
        <f>IF(AO69&gt;0,$A69,9999)</f>
        <v/>
      </c>
      <c r="AR69" s="57">
        <f>IF(AP69&gt;0,$A69,9999)</f>
        <v/>
      </c>
      <c r="AS69" s="55">
        <f>IF($A69-$D$12&lt;Premissas!$B$31,0,$C$12*(Premissas!$B$28+(Premissas!$B$29-Premissas!$B$28)*$A69/36)/(1+EXP(-Premissas!$B$33*($A69-$D$12-Premissas!$B$32))))</f>
        <v/>
      </c>
      <c r="AT69" s="56">
        <f>(AS69*$B$12+IF($A69&gt;=Premissas!$B$38+$D$12,$F$12,0))*(1-$E$12)*(1-Premissas!$B$53)</f>
        <v/>
      </c>
      <c r="AU69" s="56">
        <f>-(AS69*Premissas!$B$19+MAX(0,AS69-AS68)*Premissas!$B$24+IF($A69-$D$12&lt;=2,Premissas!$B$41,IF($A69-$D$12&lt;=5,Premissas!$B$42,IF($A69-$D$12&lt;=8,Premissas!$B$43,$G$12)))+IF($A69=1+$D$12,Premissas!$B$47,IF($A69=3+$D$12,Premissas!$B$48,IF($A69=6+$D$12,Premissas!$B$49,0))))</f>
        <v/>
      </c>
      <c r="AV69" s="56">
        <f>AT69+AU69</f>
        <v/>
      </c>
      <c r="AW69" s="56">
        <f>AW68+AV69</f>
        <v/>
      </c>
      <c r="AX69" s="57">
        <f>IF(AV69&gt;0,$A69,9999)</f>
        <v/>
      </c>
      <c r="AY69" s="57">
        <f>IF(AW69&gt;0,$A69,9999)</f>
        <v/>
      </c>
      <c r="AZ69" s="55">
        <f>IF($A69-$D$13&lt;Premissas!$B$31,0,$C$13*(Premissas!$B$28+(Premissas!$B$29-Premissas!$B$28)*$A69/36)/(1+EXP(-Premissas!$B$33*($A69-$D$13-Premissas!$B$32))))</f>
        <v/>
      </c>
      <c r="BA69" s="56">
        <f>(AZ69*$B$13+IF($A69&gt;=Premissas!$B$38+$D$13,$F$13,0))*(1-$E$13)*(1-Premissas!$B$53)</f>
        <v/>
      </c>
      <c r="BB69" s="56">
        <f>-(AZ69*Premissas!$B$19+MAX(0,AZ69-AZ68)*Premissas!$B$24+IF($A69-$D$13&lt;=2,Premissas!$B$41,IF($A69-$D$13&lt;=5,Premissas!$B$42,IF($A69-$D$13&lt;=8,Premissas!$B$43,$G$13)))+IF($A69=1+$D$13,Premissas!$B$47,IF($A69=3+$D$13,Premissas!$B$48,IF($A69=6+$D$13,Premissas!$B$49,0))))</f>
        <v/>
      </c>
      <c r="BC69" s="56">
        <f>BA69+BB69</f>
        <v/>
      </c>
      <c r="BD69" s="56">
        <f>BD68+BC69</f>
        <v/>
      </c>
      <c r="BE69" s="57">
        <f>IF(BC69&gt;0,$A69,9999)</f>
        <v/>
      </c>
      <c r="BF69" s="57">
        <f>IF(BD69&gt;0,$A69,9999)</f>
        <v/>
      </c>
      <c r="BG69" s="55">
        <f>IF($A69-$D$14&lt;Premissas!$B$31,0,$C$14*(Premissas!$B$28+(Premissas!$B$29-Premissas!$B$28)*$A69/36)/(1+EXP(-Premissas!$B$33*($A69-$D$14-Premissas!$B$32))))</f>
        <v/>
      </c>
      <c r="BH69" s="56">
        <f>(BG69*$B$14+IF($A69&gt;=Premissas!$B$38+$D$14,$F$14,0))*(1-$E$14)*(1-Premissas!$B$53)</f>
        <v/>
      </c>
      <c r="BI69" s="56">
        <f>-(BG69*Premissas!$B$19+MAX(0,BG69-BG68)*Premissas!$B$24+IF($A69-$D$14&lt;=2,Premissas!$B$41,IF($A69-$D$14&lt;=5,Premissas!$B$42,IF($A69-$D$14&lt;=8,Premissas!$B$43,$G$14)))+IF($A69=1+$D$14,Premissas!$B$47,IF($A69=3+$D$14,Premissas!$B$48,IF($A69=6+$D$14,Premissas!$B$49,0))))</f>
        <v/>
      </c>
      <c r="BJ69" s="56">
        <f>BH69+BI69</f>
        <v/>
      </c>
      <c r="BK69" s="56">
        <f>BK68+BJ69</f>
        <v/>
      </c>
      <c r="BL69" s="57">
        <f>IF(BJ69&gt;0,$A69,9999)</f>
        <v/>
      </c>
      <c r="BM69" s="57">
        <f>IF(BK69&gt;0,$A69,9999)</f>
        <v/>
      </c>
      <c r="BN69" s="55">
        <f>IF($A69-$D$15&lt;Premissas!$B$31,0,$C$15*(Premissas!$B$28+(Premissas!$B$29-Premissas!$B$28)*$A69/36)/(1+EXP(-Premissas!$B$33*($A69-$D$15-Premissas!$B$32))))</f>
        <v/>
      </c>
      <c r="BO69" s="56">
        <f>(BN69*$B$15+IF($A69&gt;=Premissas!$B$38+$D$15,$F$15,0))*(1-$E$15)*(1-Premissas!$B$53)</f>
        <v/>
      </c>
      <c r="BP69" s="56">
        <f>-(BN69*Premissas!$B$19+MAX(0,BN69-BN68)*Premissas!$B$24+IF($A69-$D$15&lt;=2,Premissas!$B$41,IF($A69-$D$15&lt;=5,Premissas!$B$42,IF($A69-$D$15&lt;=8,Premissas!$B$43,$G$15)))+IF($A69=1+$D$15,Premissas!$B$47,IF($A69=3+$D$15,Premissas!$B$48,IF($A69=6+$D$15,Premissas!$B$49,0))))</f>
        <v/>
      </c>
      <c r="BQ69" s="56">
        <f>BO69+BP69</f>
        <v/>
      </c>
      <c r="BR69" s="56">
        <f>BR68+BQ69</f>
        <v/>
      </c>
      <c r="BS69" s="57">
        <f>IF(BQ69&gt;0,$A69,9999)</f>
        <v/>
      </c>
      <c r="BT69" s="57">
        <f>IF(BR69&gt;0,$A69,9999)</f>
        <v/>
      </c>
    </row>
    <row r="70">
      <c r="A70" s="12" t="n">
        <v>35</v>
      </c>
      <c r="C70" s="55">
        <f>IF($A70-$D$6&lt;Premissas!$B$31,0,$C$6*(Premissas!$B$28+(Premissas!$B$29-Premissas!$B$28)*$A70/36)/(1+EXP(-Premissas!$B$33*($A70-$D$6-Premissas!$B$32))))</f>
        <v/>
      </c>
      <c r="D70" s="56">
        <f>(C70*$B$6+IF($A70&gt;=Premissas!$B$38+$D$6,$F$6,0))*(1-$E$6)*(1-Premissas!$B$53)</f>
        <v/>
      </c>
      <c r="E70" s="56">
        <f>-(C70*Premissas!$B$19+MAX(0,C70-C69)*Premissas!$B$24+IF($A70-$D$6&lt;=2,Premissas!$B$41,IF($A70-$D$6&lt;=5,Premissas!$B$42,IF($A70-$D$6&lt;=8,Premissas!$B$43,$G$6)))+IF($A70=1+$D$6,Premissas!$B$47,IF($A70=3+$D$6,Premissas!$B$48,IF($A70=6+$D$6,Premissas!$B$49,0))))</f>
        <v/>
      </c>
      <c r="F70" s="56">
        <f>D70+E70</f>
        <v/>
      </c>
      <c r="G70" s="56">
        <f>G69+F70</f>
        <v/>
      </c>
      <c r="H70" s="57">
        <f>IF(F70&gt;0,$A70,9999)</f>
        <v/>
      </c>
      <c r="I70" s="57">
        <f>IF(G70&gt;0,$A70,9999)</f>
        <v/>
      </c>
      <c r="J70" s="55">
        <f>IF($A70-$D$7&lt;Premissas!$B$31,0,$C$7*(Premissas!$B$28+(Premissas!$B$29-Premissas!$B$28)*$A70/36)/(1+EXP(-Premissas!$B$33*($A70-$D$7-Premissas!$B$32))))</f>
        <v/>
      </c>
      <c r="K70" s="56">
        <f>(J70*$B$7+IF($A70&gt;=Premissas!$B$38+$D$7,$F$7,0))*(1-$E$7)*(1-Premissas!$B$53)</f>
        <v/>
      </c>
      <c r="L70" s="56">
        <f>-(J70*Premissas!$B$19+MAX(0,J70-J69)*Premissas!$B$24+IF($A70-$D$7&lt;=2,Premissas!$B$41,IF($A70-$D$7&lt;=5,Premissas!$B$42,IF($A70-$D$7&lt;=8,Premissas!$B$43,$G$7)))+IF($A70=1+$D$7,Premissas!$B$47,IF($A70=3+$D$7,Premissas!$B$48,IF($A70=6+$D$7,Premissas!$B$49,0))))</f>
        <v/>
      </c>
      <c r="M70" s="56">
        <f>K70+L70</f>
        <v/>
      </c>
      <c r="N70" s="56">
        <f>N69+M70</f>
        <v/>
      </c>
      <c r="O70" s="57">
        <f>IF(M70&gt;0,$A70,9999)</f>
        <v/>
      </c>
      <c r="P70" s="57">
        <f>IF(N70&gt;0,$A70,9999)</f>
        <v/>
      </c>
      <c r="Q70" s="55">
        <f>IF($A70-$D$8&lt;Premissas!$B$31,0,$C$8*(Premissas!$B$28+(Premissas!$B$29-Premissas!$B$28)*$A70/36)/(1+EXP(-Premissas!$B$33*($A70-$D$8-Premissas!$B$32))))</f>
        <v/>
      </c>
      <c r="R70" s="56">
        <f>(Q70*$B$8+IF($A70&gt;=Premissas!$B$38+$D$8,$F$8,0))*(1-$E$8)*(1-Premissas!$B$53)</f>
        <v/>
      </c>
      <c r="S70" s="56">
        <f>-(Q70*Premissas!$B$19+MAX(0,Q70-Q69)*Premissas!$B$24+IF($A70-$D$8&lt;=2,Premissas!$B$41,IF($A70-$D$8&lt;=5,Premissas!$B$42,IF($A70-$D$8&lt;=8,Premissas!$B$43,$G$8)))+IF($A70=1+$D$8,Premissas!$B$47,IF($A70=3+$D$8,Premissas!$B$48,IF($A70=6+$D$8,Premissas!$B$49,0))))</f>
        <v/>
      </c>
      <c r="T70" s="56">
        <f>R70+S70</f>
        <v/>
      </c>
      <c r="U70" s="56">
        <f>U69+T70</f>
        <v/>
      </c>
      <c r="V70" s="57">
        <f>IF(T70&gt;0,$A70,9999)</f>
        <v/>
      </c>
      <c r="W70" s="57">
        <f>IF(U70&gt;0,$A70,9999)</f>
        <v/>
      </c>
      <c r="X70" s="55">
        <f>IF($A70-$D$9&lt;Premissas!$B$31,0,$C$9*(Premissas!$B$28+(Premissas!$B$29-Premissas!$B$28)*$A70/36)/(1+EXP(-Premissas!$B$33*($A70-$D$9-Premissas!$B$32))))</f>
        <v/>
      </c>
      <c r="Y70" s="56">
        <f>(X70*$B$9+IF($A70&gt;=Premissas!$B$38+$D$9,$F$9,0))*(1-$E$9)*(1-Premissas!$B$53)</f>
        <v/>
      </c>
      <c r="Z70" s="56">
        <f>-(X70*Premissas!$B$19+MAX(0,X70-X69)*Premissas!$B$24+IF($A70-$D$9&lt;=2,Premissas!$B$41,IF($A70-$D$9&lt;=5,Premissas!$B$42,IF($A70-$D$9&lt;=8,Premissas!$B$43,$G$9)))+IF($A70=1+$D$9,Premissas!$B$47,IF($A70=3+$D$9,Premissas!$B$48,IF($A70=6+$D$9,Premissas!$B$49,0))))</f>
        <v/>
      </c>
      <c r="AA70" s="56">
        <f>Y70+Z70</f>
        <v/>
      </c>
      <c r="AB70" s="56">
        <f>AB69+AA70</f>
        <v/>
      </c>
      <c r="AC70" s="57">
        <f>IF(AA70&gt;0,$A70,9999)</f>
        <v/>
      </c>
      <c r="AD70" s="57">
        <f>IF(AB70&gt;0,$A70,9999)</f>
        <v/>
      </c>
      <c r="AE70" s="55">
        <f>IF($A70-$D$10&lt;Premissas!$B$31,0,$C$10*(Premissas!$B$28+(Premissas!$B$29-Premissas!$B$28)*$A70/36)/(1+EXP(-Premissas!$B$33*($A70-$D$10-Premissas!$B$32))))</f>
        <v/>
      </c>
      <c r="AF70" s="56">
        <f>(AE70*$B$10+IF($A70&gt;=Premissas!$B$38+$D$10,$F$10,0))*(1-$E$10)*(1-Premissas!$B$53)</f>
        <v/>
      </c>
      <c r="AG70" s="56">
        <f>-(AE70*Premissas!$B$19+MAX(0,AE70-AE69)*Premissas!$B$24+IF($A70-$D$10&lt;=2,Premissas!$B$41,IF($A70-$D$10&lt;=5,Premissas!$B$42,IF($A70-$D$10&lt;=8,Premissas!$B$43,$G$10)))+IF($A70=1+$D$10,Premissas!$B$47,IF($A70=3+$D$10,Premissas!$B$48,IF($A70=6+$D$10,Premissas!$B$49,0))))</f>
        <v/>
      </c>
      <c r="AH70" s="56">
        <f>AF70+AG70</f>
        <v/>
      </c>
      <c r="AI70" s="56">
        <f>AI69+AH70</f>
        <v/>
      </c>
      <c r="AJ70" s="57">
        <f>IF(AH70&gt;0,$A70,9999)</f>
        <v/>
      </c>
      <c r="AK70" s="57">
        <f>IF(AI70&gt;0,$A70,9999)</f>
        <v/>
      </c>
      <c r="AL70" s="55">
        <f>IF($A70-$D$11&lt;Premissas!$B$31,0,$C$11*(Premissas!$B$28+(Premissas!$B$29-Premissas!$B$28)*$A70/36)/(1+EXP(-Premissas!$B$33*($A70-$D$11-Premissas!$B$32))))</f>
        <v/>
      </c>
      <c r="AM70" s="56">
        <f>(AL70*$B$11+IF($A70&gt;=Premissas!$B$38+$D$11,$F$11,0))*(1-$E$11)*(1-Premissas!$B$53)</f>
        <v/>
      </c>
      <c r="AN70" s="56">
        <f>-(AL70*Premissas!$B$19+MAX(0,AL70-AL69)*Premissas!$B$24+IF($A70-$D$11&lt;=2,Premissas!$B$41,IF($A70-$D$11&lt;=5,Premissas!$B$42,IF($A70-$D$11&lt;=8,Premissas!$B$43,$G$11)))+IF($A70=1+$D$11,Premissas!$B$47,IF($A70=3+$D$11,Premissas!$B$48,IF($A70=6+$D$11,Premissas!$B$49,0))))</f>
        <v/>
      </c>
      <c r="AO70" s="56">
        <f>AM70+AN70</f>
        <v/>
      </c>
      <c r="AP70" s="56">
        <f>AP69+AO70</f>
        <v/>
      </c>
      <c r="AQ70" s="57">
        <f>IF(AO70&gt;0,$A70,9999)</f>
        <v/>
      </c>
      <c r="AR70" s="57">
        <f>IF(AP70&gt;0,$A70,9999)</f>
        <v/>
      </c>
      <c r="AS70" s="55">
        <f>IF($A70-$D$12&lt;Premissas!$B$31,0,$C$12*(Premissas!$B$28+(Premissas!$B$29-Premissas!$B$28)*$A70/36)/(1+EXP(-Premissas!$B$33*($A70-$D$12-Premissas!$B$32))))</f>
        <v/>
      </c>
      <c r="AT70" s="56">
        <f>(AS70*$B$12+IF($A70&gt;=Premissas!$B$38+$D$12,$F$12,0))*(1-$E$12)*(1-Premissas!$B$53)</f>
        <v/>
      </c>
      <c r="AU70" s="56">
        <f>-(AS70*Premissas!$B$19+MAX(0,AS70-AS69)*Premissas!$B$24+IF($A70-$D$12&lt;=2,Premissas!$B$41,IF($A70-$D$12&lt;=5,Premissas!$B$42,IF($A70-$D$12&lt;=8,Premissas!$B$43,$G$12)))+IF($A70=1+$D$12,Premissas!$B$47,IF($A70=3+$D$12,Premissas!$B$48,IF($A70=6+$D$12,Premissas!$B$49,0))))</f>
        <v/>
      </c>
      <c r="AV70" s="56">
        <f>AT70+AU70</f>
        <v/>
      </c>
      <c r="AW70" s="56">
        <f>AW69+AV70</f>
        <v/>
      </c>
      <c r="AX70" s="57">
        <f>IF(AV70&gt;0,$A70,9999)</f>
        <v/>
      </c>
      <c r="AY70" s="57">
        <f>IF(AW70&gt;0,$A70,9999)</f>
        <v/>
      </c>
      <c r="AZ70" s="55">
        <f>IF($A70-$D$13&lt;Premissas!$B$31,0,$C$13*(Premissas!$B$28+(Premissas!$B$29-Premissas!$B$28)*$A70/36)/(1+EXP(-Premissas!$B$33*($A70-$D$13-Premissas!$B$32))))</f>
        <v/>
      </c>
      <c r="BA70" s="56">
        <f>(AZ70*$B$13+IF($A70&gt;=Premissas!$B$38+$D$13,$F$13,0))*(1-$E$13)*(1-Premissas!$B$53)</f>
        <v/>
      </c>
      <c r="BB70" s="56">
        <f>-(AZ70*Premissas!$B$19+MAX(0,AZ70-AZ69)*Premissas!$B$24+IF($A70-$D$13&lt;=2,Premissas!$B$41,IF($A70-$D$13&lt;=5,Premissas!$B$42,IF($A70-$D$13&lt;=8,Premissas!$B$43,$G$13)))+IF($A70=1+$D$13,Premissas!$B$47,IF($A70=3+$D$13,Premissas!$B$48,IF($A70=6+$D$13,Premissas!$B$49,0))))</f>
        <v/>
      </c>
      <c r="BC70" s="56">
        <f>BA70+BB70</f>
        <v/>
      </c>
      <c r="BD70" s="56">
        <f>BD69+BC70</f>
        <v/>
      </c>
      <c r="BE70" s="57">
        <f>IF(BC70&gt;0,$A70,9999)</f>
        <v/>
      </c>
      <c r="BF70" s="57">
        <f>IF(BD70&gt;0,$A70,9999)</f>
        <v/>
      </c>
      <c r="BG70" s="55">
        <f>IF($A70-$D$14&lt;Premissas!$B$31,0,$C$14*(Premissas!$B$28+(Premissas!$B$29-Premissas!$B$28)*$A70/36)/(1+EXP(-Premissas!$B$33*($A70-$D$14-Premissas!$B$32))))</f>
        <v/>
      </c>
      <c r="BH70" s="56">
        <f>(BG70*$B$14+IF($A70&gt;=Premissas!$B$38+$D$14,$F$14,0))*(1-$E$14)*(1-Premissas!$B$53)</f>
        <v/>
      </c>
      <c r="BI70" s="56">
        <f>-(BG70*Premissas!$B$19+MAX(0,BG70-BG69)*Premissas!$B$24+IF($A70-$D$14&lt;=2,Premissas!$B$41,IF($A70-$D$14&lt;=5,Premissas!$B$42,IF($A70-$D$14&lt;=8,Premissas!$B$43,$G$14)))+IF($A70=1+$D$14,Premissas!$B$47,IF($A70=3+$D$14,Premissas!$B$48,IF($A70=6+$D$14,Premissas!$B$49,0))))</f>
        <v/>
      </c>
      <c r="BJ70" s="56">
        <f>BH70+BI70</f>
        <v/>
      </c>
      <c r="BK70" s="56">
        <f>BK69+BJ70</f>
        <v/>
      </c>
      <c r="BL70" s="57">
        <f>IF(BJ70&gt;0,$A70,9999)</f>
        <v/>
      </c>
      <c r="BM70" s="57">
        <f>IF(BK70&gt;0,$A70,9999)</f>
        <v/>
      </c>
      <c r="BN70" s="55">
        <f>IF($A70-$D$15&lt;Premissas!$B$31,0,$C$15*(Premissas!$B$28+(Premissas!$B$29-Premissas!$B$28)*$A70/36)/(1+EXP(-Premissas!$B$33*($A70-$D$15-Premissas!$B$32))))</f>
        <v/>
      </c>
      <c r="BO70" s="56">
        <f>(BN70*$B$15+IF($A70&gt;=Premissas!$B$38+$D$15,$F$15,0))*(1-$E$15)*(1-Premissas!$B$53)</f>
        <v/>
      </c>
      <c r="BP70" s="56">
        <f>-(BN70*Premissas!$B$19+MAX(0,BN70-BN69)*Premissas!$B$24+IF($A70-$D$15&lt;=2,Premissas!$B$41,IF($A70-$D$15&lt;=5,Premissas!$B$42,IF($A70-$D$15&lt;=8,Premissas!$B$43,$G$15)))+IF($A70=1+$D$15,Premissas!$B$47,IF($A70=3+$D$15,Premissas!$B$48,IF($A70=6+$D$15,Premissas!$B$49,0))))</f>
        <v/>
      </c>
      <c r="BQ70" s="56">
        <f>BO70+BP70</f>
        <v/>
      </c>
      <c r="BR70" s="56">
        <f>BR69+BQ70</f>
        <v/>
      </c>
      <c r="BS70" s="57">
        <f>IF(BQ70&gt;0,$A70,9999)</f>
        <v/>
      </c>
      <c r="BT70" s="57">
        <f>IF(BR70&gt;0,$A70,9999)</f>
        <v/>
      </c>
    </row>
    <row r="71">
      <c r="A71" s="12" t="n">
        <v>36</v>
      </c>
      <c r="C71" s="55">
        <f>IF($A71-$D$6&lt;Premissas!$B$31,0,$C$6*(Premissas!$B$28+(Premissas!$B$29-Premissas!$B$28)*$A71/36)/(1+EXP(-Premissas!$B$33*($A71-$D$6-Premissas!$B$32))))</f>
        <v/>
      </c>
      <c r="D71" s="56">
        <f>(C71*$B$6+IF($A71&gt;=Premissas!$B$38+$D$6,$F$6,0))*(1-$E$6)*(1-Premissas!$B$53)</f>
        <v/>
      </c>
      <c r="E71" s="56">
        <f>-(C71*Premissas!$B$19+MAX(0,C71-C70)*Premissas!$B$24+IF($A71-$D$6&lt;=2,Premissas!$B$41,IF($A71-$D$6&lt;=5,Premissas!$B$42,IF($A71-$D$6&lt;=8,Premissas!$B$43,$G$6)))+IF($A71=1+$D$6,Premissas!$B$47,IF($A71=3+$D$6,Premissas!$B$48,IF($A71=6+$D$6,Premissas!$B$49,0))))</f>
        <v/>
      </c>
      <c r="F71" s="56">
        <f>D71+E71</f>
        <v/>
      </c>
      <c r="G71" s="56">
        <f>G70+F71</f>
        <v/>
      </c>
      <c r="H71" s="57">
        <f>IF(F71&gt;0,$A71,9999)</f>
        <v/>
      </c>
      <c r="I71" s="57">
        <f>IF(G71&gt;0,$A71,9999)</f>
        <v/>
      </c>
      <c r="J71" s="55">
        <f>IF($A71-$D$7&lt;Premissas!$B$31,0,$C$7*(Premissas!$B$28+(Premissas!$B$29-Premissas!$B$28)*$A71/36)/(1+EXP(-Premissas!$B$33*($A71-$D$7-Premissas!$B$32))))</f>
        <v/>
      </c>
      <c r="K71" s="56">
        <f>(J71*$B$7+IF($A71&gt;=Premissas!$B$38+$D$7,$F$7,0))*(1-$E$7)*(1-Premissas!$B$53)</f>
        <v/>
      </c>
      <c r="L71" s="56">
        <f>-(J71*Premissas!$B$19+MAX(0,J71-J70)*Premissas!$B$24+IF($A71-$D$7&lt;=2,Premissas!$B$41,IF($A71-$D$7&lt;=5,Premissas!$B$42,IF($A71-$D$7&lt;=8,Premissas!$B$43,$G$7)))+IF($A71=1+$D$7,Premissas!$B$47,IF($A71=3+$D$7,Premissas!$B$48,IF($A71=6+$D$7,Premissas!$B$49,0))))</f>
        <v/>
      </c>
      <c r="M71" s="56">
        <f>K71+L71</f>
        <v/>
      </c>
      <c r="N71" s="56">
        <f>N70+M71</f>
        <v/>
      </c>
      <c r="O71" s="57">
        <f>IF(M71&gt;0,$A71,9999)</f>
        <v/>
      </c>
      <c r="P71" s="57">
        <f>IF(N71&gt;0,$A71,9999)</f>
        <v/>
      </c>
      <c r="Q71" s="55">
        <f>IF($A71-$D$8&lt;Premissas!$B$31,0,$C$8*(Premissas!$B$28+(Premissas!$B$29-Premissas!$B$28)*$A71/36)/(1+EXP(-Premissas!$B$33*($A71-$D$8-Premissas!$B$32))))</f>
        <v/>
      </c>
      <c r="R71" s="56">
        <f>(Q71*$B$8+IF($A71&gt;=Premissas!$B$38+$D$8,$F$8,0))*(1-$E$8)*(1-Premissas!$B$53)</f>
        <v/>
      </c>
      <c r="S71" s="56">
        <f>-(Q71*Premissas!$B$19+MAX(0,Q71-Q70)*Premissas!$B$24+IF($A71-$D$8&lt;=2,Premissas!$B$41,IF($A71-$D$8&lt;=5,Premissas!$B$42,IF($A71-$D$8&lt;=8,Premissas!$B$43,$G$8)))+IF($A71=1+$D$8,Premissas!$B$47,IF($A71=3+$D$8,Premissas!$B$48,IF($A71=6+$D$8,Premissas!$B$49,0))))</f>
        <v/>
      </c>
      <c r="T71" s="56">
        <f>R71+S71</f>
        <v/>
      </c>
      <c r="U71" s="56">
        <f>U70+T71</f>
        <v/>
      </c>
      <c r="V71" s="57">
        <f>IF(T71&gt;0,$A71,9999)</f>
        <v/>
      </c>
      <c r="W71" s="57">
        <f>IF(U71&gt;0,$A71,9999)</f>
        <v/>
      </c>
      <c r="X71" s="55">
        <f>IF($A71-$D$9&lt;Premissas!$B$31,0,$C$9*(Premissas!$B$28+(Premissas!$B$29-Premissas!$B$28)*$A71/36)/(1+EXP(-Premissas!$B$33*($A71-$D$9-Premissas!$B$32))))</f>
        <v/>
      </c>
      <c r="Y71" s="56">
        <f>(X71*$B$9+IF($A71&gt;=Premissas!$B$38+$D$9,$F$9,0))*(1-$E$9)*(1-Premissas!$B$53)</f>
        <v/>
      </c>
      <c r="Z71" s="56">
        <f>-(X71*Premissas!$B$19+MAX(0,X71-X70)*Premissas!$B$24+IF($A71-$D$9&lt;=2,Premissas!$B$41,IF($A71-$D$9&lt;=5,Premissas!$B$42,IF($A71-$D$9&lt;=8,Premissas!$B$43,$G$9)))+IF($A71=1+$D$9,Premissas!$B$47,IF($A71=3+$D$9,Premissas!$B$48,IF($A71=6+$D$9,Premissas!$B$49,0))))</f>
        <v/>
      </c>
      <c r="AA71" s="56">
        <f>Y71+Z71</f>
        <v/>
      </c>
      <c r="AB71" s="56">
        <f>AB70+AA71</f>
        <v/>
      </c>
      <c r="AC71" s="57">
        <f>IF(AA71&gt;0,$A71,9999)</f>
        <v/>
      </c>
      <c r="AD71" s="57">
        <f>IF(AB71&gt;0,$A71,9999)</f>
        <v/>
      </c>
      <c r="AE71" s="55">
        <f>IF($A71-$D$10&lt;Premissas!$B$31,0,$C$10*(Premissas!$B$28+(Premissas!$B$29-Premissas!$B$28)*$A71/36)/(1+EXP(-Premissas!$B$33*($A71-$D$10-Premissas!$B$32))))</f>
        <v/>
      </c>
      <c r="AF71" s="56">
        <f>(AE71*$B$10+IF($A71&gt;=Premissas!$B$38+$D$10,$F$10,0))*(1-$E$10)*(1-Premissas!$B$53)</f>
        <v/>
      </c>
      <c r="AG71" s="56">
        <f>-(AE71*Premissas!$B$19+MAX(0,AE71-AE70)*Premissas!$B$24+IF($A71-$D$10&lt;=2,Premissas!$B$41,IF($A71-$D$10&lt;=5,Premissas!$B$42,IF($A71-$D$10&lt;=8,Premissas!$B$43,$G$10)))+IF($A71=1+$D$10,Premissas!$B$47,IF($A71=3+$D$10,Premissas!$B$48,IF($A71=6+$D$10,Premissas!$B$49,0))))</f>
        <v/>
      </c>
      <c r="AH71" s="56">
        <f>AF71+AG71</f>
        <v/>
      </c>
      <c r="AI71" s="56">
        <f>AI70+AH71</f>
        <v/>
      </c>
      <c r="AJ71" s="57">
        <f>IF(AH71&gt;0,$A71,9999)</f>
        <v/>
      </c>
      <c r="AK71" s="57">
        <f>IF(AI71&gt;0,$A71,9999)</f>
        <v/>
      </c>
      <c r="AL71" s="55">
        <f>IF($A71-$D$11&lt;Premissas!$B$31,0,$C$11*(Premissas!$B$28+(Premissas!$B$29-Premissas!$B$28)*$A71/36)/(1+EXP(-Premissas!$B$33*($A71-$D$11-Premissas!$B$32))))</f>
        <v/>
      </c>
      <c r="AM71" s="56">
        <f>(AL71*$B$11+IF($A71&gt;=Premissas!$B$38+$D$11,$F$11,0))*(1-$E$11)*(1-Premissas!$B$53)</f>
        <v/>
      </c>
      <c r="AN71" s="56">
        <f>-(AL71*Premissas!$B$19+MAX(0,AL71-AL70)*Premissas!$B$24+IF($A71-$D$11&lt;=2,Premissas!$B$41,IF($A71-$D$11&lt;=5,Premissas!$B$42,IF($A71-$D$11&lt;=8,Premissas!$B$43,$G$11)))+IF($A71=1+$D$11,Premissas!$B$47,IF($A71=3+$D$11,Premissas!$B$48,IF($A71=6+$D$11,Premissas!$B$49,0))))</f>
        <v/>
      </c>
      <c r="AO71" s="56">
        <f>AM71+AN71</f>
        <v/>
      </c>
      <c r="AP71" s="56">
        <f>AP70+AO71</f>
        <v/>
      </c>
      <c r="AQ71" s="57">
        <f>IF(AO71&gt;0,$A71,9999)</f>
        <v/>
      </c>
      <c r="AR71" s="57">
        <f>IF(AP71&gt;0,$A71,9999)</f>
        <v/>
      </c>
      <c r="AS71" s="55">
        <f>IF($A71-$D$12&lt;Premissas!$B$31,0,$C$12*(Premissas!$B$28+(Premissas!$B$29-Premissas!$B$28)*$A71/36)/(1+EXP(-Premissas!$B$33*($A71-$D$12-Premissas!$B$32))))</f>
        <v/>
      </c>
      <c r="AT71" s="56">
        <f>(AS71*$B$12+IF($A71&gt;=Premissas!$B$38+$D$12,$F$12,0))*(1-$E$12)*(1-Premissas!$B$53)</f>
        <v/>
      </c>
      <c r="AU71" s="56">
        <f>-(AS71*Premissas!$B$19+MAX(0,AS71-AS70)*Premissas!$B$24+IF($A71-$D$12&lt;=2,Premissas!$B$41,IF($A71-$D$12&lt;=5,Premissas!$B$42,IF($A71-$D$12&lt;=8,Premissas!$B$43,$G$12)))+IF($A71=1+$D$12,Premissas!$B$47,IF($A71=3+$D$12,Premissas!$B$48,IF($A71=6+$D$12,Premissas!$B$49,0))))</f>
        <v/>
      </c>
      <c r="AV71" s="56">
        <f>AT71+AU71</f>
        <v/>
      </c>
      <c r="AW71" s="56">
        <f>AW70+AV71</f>
        <v/>
      </c>
      <c r="AX71" s="57">
        <f>IF(AV71&gt;0,$A71,9999)</f>
        <v/>
      </c>
      <c r="AY71" s="57">
        <f>IF(AW71&gt;0,$A71,9999)</f>
        <v/>
      </c>
      <c r="AZ71" s="55">
        <f>IF($A71-$D$13&lt;Premissas!$B$31,0,$C$13*(Premissas!$B$28+(Premissas!$B$29-Premissas!$B$28)*$A71/36)/(1+EXP(-Premissas!$B$33*($A71-$D$13-Premissas!$B$32))))</f>
        <v/>
      </c>
      <c r="BA71" s="56">
        <f>(AZ71*$B$13+IF($A71&gt;=Premissas!$B$38+$D$13,$F$13,0))*(1-$E$13)*(1-Premissas!$B$53)</f>
        <v/>
      </c>
      <c r="BB71" s="56">
        <f>-(AZ71*Premissas!$B$19+MAX(0,AZ71-AZ70)*Premissas!$B$24+IF($A71-$D$13&lt;=2,Premissas!$B$41,IF($A71-$D$13&lt;=5,Premissas!$B$42,IF($A71-$D$13&lt;=8,Premissas!$B$43,$G$13)))+IF($A71=1+$D$13,Premissas!$B$47,IF($A71=3+$D$13,Premissas!$B$48,IF($A71=6+$D$13,Premissas!$B$49,0))))</f>
        <v/>
      </c>
      <c r="BC71" s="56">
        <f>BA71+BB71</f>
        <v/>
      </c>
      <c r="BD71" s="56">
        <f>BD70+BC71</f>
        <v/>
      </c>
      <c r="BE71" s="57">
        <f>IF(BC71&gt;0,$A71,9999)</f>
        <v/>
      </c>
      <c r="BF71" s="57">
        <f>IF(BD71&gt;0,$A71,9999)</f>
        <v/>
      </c>
      <c r="BG71" s="55">
        <f>IF($A71-$D$14&lt;Premissas!$B$31,0,$C$14*(Premissas!$B$28+(Premissas!$B$29-Premissas!$B$28)*$A71/36)/(1+EXP(-Premissas!$B$33*($A71-$D$14-Premissas!$B$32))))</f>
        <v/>
      </c>
      <c r="BH71" s="56">
        <f>(BG71*$B$14+IF($A71&gt;=Premissas!$B$38+$D$14,$F$14,0))*(1-$E$14)*(1-Premissas!$B$53)</f>
        <v/>
      </c>
      <c r="BI71" s="56">
        <f>-(BG71*Premissas!$B$19+MAX(0,BG71-BG70)*Premissas!$B$24+IF($A71-$D$14&lt;=2,Premissas!$B$41,IF($A71-$D$14&lt;=5,Premissas!$B$42,IF($A71-$D$14&lt;=8,Premissas!$B$43,$G$14)))+IF($A71=1+$D$14,Premissas!$B$47,IF($A71=3+$D$14,Premissas!$B$48,IF($A71=6+$D$14,Premissas!$B$49,0))))</f>
        <v/>
      </c>
      <c r="BJ71" s="56">
        <f>BH71+BI71</f>
        <v/>
      </c>
      <c r="BK71" s="56">
        <f>BK70+BJ71</f>
        <v/>
      </c>
      <c r="BL71" s="57">
        <f>IF(BJ71&gt;0,$A71,9999)</f>
        <v/>
      </c>
      <c r="BM71" s="57">
        <f>IF(BK71&gt;0,$A71,9999)</f>
        <v/>
      </c>
      <c r="BN71" s="55">
        <f>IF($A71-$D$15&lt;Premissas!$B$31,0,$C$15*(Premissas!$B$28+(Premissas!$B$29-Premissas!$B$28)*$A71/36)/(1+EXP(-Premissas!$B$33*($A71-$D$15-Premissas!$B$32))))</f>
        <v/>
      </c>
      <c r="BO71" s="56">
        <f>(BN71*$B$15+IF($A71&gt;=Premissas!$B$38+$D$15,$F$15,0))*(1-$E$15)*(1-Premissas!$B$53)</f>
        <v/>
      </c>
      <c r="BP71" s="56">
        <f>-(BN71*Premissas!$B$19+MAX(0,BN71-BN70)*Premissas!$B$24+IF($A71-$D$15&lt;=2,Premissas!$B$41,IF($A71-$D$15&lt;=5,Premissas!$B$42,IF($A71-$D$15&lt;=8,Premissas!$B$43,$G$15)))+IF($A71=1+$D$15,Premissas!$B$47,IF($A71=3+$D$15,Premissas!$B$48,IF($A71=6+$D$15,Premissas!$B$49,0))))</f>
        <v/>
      </c>
      <c r="BQ71" s="56">
        <f>BO71+BP71</f>
        <v/>
      </c>
      <c r="BR71" s="56">
        <f>BR70+BQ71</f>
        <v/>
      </c>
      <c r="BS71" s="57">
        <f>IF(BQ71&gt;0,$A71,9999)</f>
        <v/>
      </c>
      <c r="BT71" s="57">
        <f>IF(BR71&gt;0,$A71,9999)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13" customWidth="1" min="3" max="3"/>
    <col width="8" customWidth="1" min="4" max="4"/>
    <col width="62" customWidth="1" min="5" max="5"/>
    <col width="58" customWidth="1" min="6" max="6"/>
    <col width="24" customWidth="1" min="7" max="7"/>
    <col width="14" customWidth="1" min="8" max="8"/>
    <col width="44" customWidth="1" min="9" max="9"/>
    <col width="12" customWidth="1" min="10" max="10"/>
  </cols>
  <sheetData>
    <row r="1">
      <c r="A1" s="1" t="inlineStr">
        <is>
          <t>Plano de descoberta — 34 itens</t>
        </is>
      </c>
    </row>
    <row r="2">
      <c r="A2" s="2" t="inlineStr">
        <is>
          <t>Marque o status e anote a resposta. Os seis bloqueantes vêm primeiro.</t>
        </is>
      </c>
    </row>
    <row r="4" ht="28" customHeight="1">
      <c r="A4" s="11" t="inlineStr">
        <is>
          <t>Código</t>
        </is>
      </c>
      <c r="B4" s="11" t="inlineStr">
        <is>
          <t>Categoria</t>
        </is>
      </c>
      <c r="C4" s="11" t="inlineStr">
        <is>
          <t>Prioridade</t>
        </is>
      </c>
      <c r="D4" s="11" t="inlineStr">
        <is>
          <t>Onda</t>
        </is>
      </c>
      <c r="E4" s="11" t="inlineStr">
        <is>
          <t>Pergunta</t>
        </is>
      </c>
      <c r="F4" s="11" t="inlineStr">
        <is>
          <t>O que muda</t>
        </is>
      </c>
      <c r="G4" s="11" t="inlineStr">
        <is>
          <t>Quem responde</t>
        </is>
      </c>
      <c r="H4" s="11" t="inlineStr">
        <is>
          <t>Status</t>
        </is>
      </c>
      <c r="I4" s="11" t="inlineStr">
        <is>
          <t>Resposta / anotação</t>
        </is>
      </c>
      <c r="J4" s="11" t="inlineStr">
        <is>
          <t>Data</t>
        </is>
      </c>
    </row>
    <row r="5" ht="30" customHeight="1">
      <c r="A5" s="58" t="inlineStr">
        <is>
          <t>J1</t>
        </is>
      </c>
      <c r="B5" s="59" t="inlineStr">
        <is>
          <t>Jurídico</t>
        </is>
      </c>
      <c r="C5" s="60" t="inlineStr">
        <is>
          <t>Bloqueante</t>
        </is>
      </c>
      <c r="D5" s="59" t="n">
        <v>1</v>
      </c>
      <c r="E5" s="59" t="inlineStr">
        <is>
          <t>A cláusula 13.13 alcança um software que eu escrevi? Cessão universal e gratuita é exigível ou abusiva num contrato de adesão?</t>
        </is>
      </c>
      <c r="F5" s="59" t="inlineStr">
        <is>
          <t>Tudo. Se alcança, o único caminho é negociar.</t>
        </is>
      </c>
      <c r="G5" s="59" t="inlineStr">
        <is>
          <t>Advogado de franquias</t>
        </is>
      </c>
      <c r="H5" s="61" t="inlineStr">
        <is>
          <t>Não iniciado</t>
        </is>
      </c>
      <c r="I5" s="61" t="inlineStr"/>
      <c r="J5" s="62" t="inlineStr"/>
    </row>
    <row r="6" ht="30" customHeight="1">
      <c r="A6" s="58" t="inlineStr">
        <is>
          <t>J2</t>
        </is>
      </c>
      <c r="B6" s="59" t="inlineStr">
        <is>
          <t>Jurídico</t>
        </is>
      </c>
      <c r="C6" s="60" t="inlineStr">
        <is>
          <t>Bloqueante</t>
        </is>
      </c>
      <c r="D6" s="59" t="n">
        <v>1</v>
      </c>
      <c r="E6" s="59" t="inlineStr">
        <is>
          <t>A Lei de Software (9.609/98) muda algo, sendo o autor pessoa física fora de vínculo empregatício?</t>
        </is>
      </c>
      <c r="F6" s="59" t="inlineStr">
        <is>
          <t>Define a força do argumento de titularidade.</t>
        </is>
      </c>
      <c r="G6" s="59" t="inlineStr">
        <is>
          <t>Advogado de franquias</t>
        </is>
      </c>
      <c r="H6" s="61" t="inlineStr">
        <is>
          <t>Não iniciado</t>
        </is>
      </c>
      <c r="I6" s="61" t="inlineStr"/>
      <c r="J6" s="62" t="inlineStr"/>
    </row>
    <row r="7" ht="30" customHeight="1">
      <c r="A7" s="58" t="inlineStr">
        <is>
          <t>J3</t>
        </is>
      </c>
      <c r="B7" s="59" t="inlineStr">
        <is>
          <t>Jurídico</t>
        </is>
      </c>
      <c r="C7" s="60" t="inlineStr">
        <is>
          <t>Bloqueante</t>
        </is>
      </c>
      <c r="D7" s="59" t="n">
        <v>1</v>
      </c>
      <c r="E7" s="59" t="inlineStr">
        <is>
          <t>Qual o risco das três exposições atuais — painel público, sync do HubSpot, campanhas — e em que ordem corrigir?</t>
        </is>
      </c>
      <c r="F7" s="59" t="inlineStr">
        <is>
          <t>Define o que fazer nesta semana.</t>
        </is>
      </c>
      <c r="G7" s="59" t="inlineStr">
        <is>
          <t>Advogado de franquias</t>
        </is>
      </c>
      <c r="H7" s="61" t="inlineStr">
        <is>
          <t>Não iniciado</t>
        </is>
      </c>
      <c r="I7" s="61" t="inlineStr"/>
      <c r="J7" s="62" t="inlineStr"/>
    </row>
    <row r="8" ht="30" customHeight="1">
      <c r="A8" s="58" t="inlineStr">
        <is>
          <t>T1</t>
        </is>
      </c>
      <c r="B8" s="59" t="inlineStr">
        <is>
          <t>Trinks</t>
        </is>
      </c>
      <c r="C8" s="60" t="inlineStr">
        <is>
          <t>Bloqueante</t>
        </is>
      </c>
      <c r="D8" s="59" t="n">
        <v>1</v>
      </c>
      <c r="E8" s="59" t="inlineStr">
        <is>
          <t>Existe autorização para uso comercial da API? Qual o processo para o contrato específico que os Termos exigem?</t>
        </is>
      </c>
      <c r="F8" s="59" t="inlineStr">
        <is>
          <t>Se não existe caminho, não há produto sobre a API.</t>
        </is>
      </c>
      <c r="G8" s="59" t="inlineStr">
        <is>
          <t>Comercial Trinks</t>
        </is>
      </c>
      <c r="H8" s="61" t="inlineStr">
        <is>
          <t>Não iniciado</t>
        </is>
      </c>
      <c r="I8" s="61" t="inlineStr"/>
      <c r="J8" s="62" t="inlineStr"/>
    </row>
    <row r="9" ht="30" customHeight="1">
      <c r="A9" s="58" t="inlineStr">
        <is>
          <t>T2</t>
        </is>
      </c>
      <c r="B9" s="59" t="inlineStr">
        <is>
          <t>Trinks</t>
        </is>
      </c>
      <c r="C9" s="60" t="inlineStr">
        <is>
          <t>Bloqueante</t>
        </is>
      </c>
      <c r="D9" s="59" t="n">
        <v>1</v>
      </c>
      <c r="E9" s="59" t="inlineStr">
        <is>
          <t>A cota de 10.000 requisições/mês é por estabelecimento ou por conta?</t>
        </is>
      </c>
      <c r="F9" s="59" t="inlineStr">
        <is>
          <t>Se for por conta, o custo unitário muda e o modelo é refeito.</t>
        </is>
      </c>
      <c r="G9" s="59" t="inlineStr">
        <is>
          <t>Suporte técnico Trinks</t>
        </is>
      </c>
      <c r="H9" s="61" t="inlineStr">
        <is>
          <t>Não iniciado</t>
        </is>
      </c>
      <c r="I9" s="61" t="inlineStr"/>
      <c r="J9" s="62" t="inlineStr"/>
    </row>
    <row r="10" ht="30" customHeight="1">
      <c r="A10" s="58" t="inlineStr">
        <is>
          <t>T3</t>
        </is>
      </c>
      <c r="B10" s="59" t="inlineStr">
        <is>
          <t>Trinks</t>
        </is>
      </c>
      <c r="C10" s="60" t="inlineStr">
        <is>
          <t>Bloqueante</t>
        </is>
      </c>
      <c r="D10" s="59" t="n">
        <v>1</v>
      </c>
      <c r="E10" s="59" t="inlineStr">
        <is>
          <t>Existe programa formal de parceiro ou integrador? Contrato-tipo, requisitos, prazo?</t>
        </is>
      </c>
      <c r="F10" s="59" t="inlineStr">
        <is>
          <t>Define o prazo da Onda 1 e se há atalho.</t>
        </is>
      </c>
      <c r="G10" s="59" t="inlineStr">
        <is>
          <t>Parcerias Trinks</t>
        </is>
      </c>
      <c r="H10" s="61" t="inlineStr">
        <is>
          <t>Não iniciado</t>
        </is>
      </c>
      <c r="I10" s="61" t="inlineStr"/>
      <c r="J10" s="62" t="inlineStr"/>
    </row>
    <row r="11" ht="30" customHeight="1">
      <c r="A11" s="58" t="inlineStr">
        <is>
          <t>J4</t>
        </is>
      </c>
      <c r="B11" s="59" t="inlineStr">
        <is>
          <t>Jurídico</t>
        </is>
      </c>
      <c r="C11" s="63" t="inlineStr">
        <is>
          <t>Estrutural</t>
        </is>
      </c>
      <c r="D11" s="59" t="n">
        <v>2</v>
      </c>
      <c r="E11" s="59" t="inlineStr">
        <is>
          <t>Como demonstrar o produto sem entregar o ativo? Existe NDA ou memorando que preserve minha posição?</t>
        </is>
      </c>
      <c r="F11" s="59" t="inlineStr">
        <is>
          <t>Define se a reunião da semana 4 pode acontecer.</t>
        </is>
      </c>
      <c r="G11" s="59" t="inlineStr">
        <is>
          <t>Advogado de franquias</t>
        </is>
      </c>
      <c r="H11" s="61" t="inlineStr">
        <is>
          <t>Não iniciado</t>
        </is>
      </c>
      <c r="I11" s="61" t="inlineStr"/>
      <c r="J11" s="62" t="inlineStr"/>
    </row>
    <row r="12" ht="30" customHeight="1">
      <c r="A12" s="58" t="inlineStr">
        <is>
          <t>J5</t>
        </is>
      </c>
      <c r="B12" s="59" t="inlineStr">
        <is>
          <t>Jurídico</t>
        </is>
      </c>
      <c r="C12" s="63" t="inlineStr">
        <is>
          <t>Estrutural</t>
        </is>
      </c>
      <c r="D12" s="59" t="n">
        <v>2</v>
      </c>
      <c r="E12" s="59" t="inlineStr">
        <is>
          <t>Qual estrutura usar: PJ separada, sociedade com a franqueadora, ou licenciamento?</t>
        </is>
      </c>
      <c r="F12" s="59" t="inlineStr">
        <is>
          <t>Define qual das três estruturas é viável.</t>
        </is>
      </c>
      <c r="G12" s="59" t="inlineStr">
        <is>
          <t>Advogado de franquias</t>
        </is>
      </c>
      <c r="H12" s="61" t="inlineStr">
        <is>
          <t>Não iniciado</t>
        </is>
      </c>
      <c r="I12" s="61" t="inlineStr"/>
      <c r="J12" s="62" t="inlineStr"/>
    </row>
    <row r="13" ht="30" customHeight="1">
      <c r="A13" s="58" t="inlineStr">
        <is>
          <t>J6</t>
        </is>
      </c>
      <c r="B13" s="59" t="inlineStr">
        <is>
          <t>Jurídico</t>
        </is>
      </c>
      <c r="C13" s="63" t="inlineStr">
        <is>
          <t>Estrutural</t>
        </is>
      </c>
      <c r="D13" s="59" t="n">
        <v>2</v>
      </c>
      <c r="E13" s="59" t="inlineStr">
        <is>
          <t>Sendo franqueado e fornecedor homologado ao mesmo tempo, há conflito a tratar no contrato?</t>
        </is>
      </c>
      <c r="F13" s="59" t="inlineStr">
        <is>
          <t>Define cláusulas do contrato de homologação.</t>
        </is>
      </c>
      <c r="G13" s="59" t="inlineStr">
        <is>
          <t>Advogado de franquias</t>
        </is>
      </c>
      <c r="H13" s="61" t="inlineStr">
        <is>
          <t>Não iniciado</t>
        </is>
      </c>
      <c r="I13" s="61" t="inlineStr"/>
      <c r="J13" s="62" t="inlineStr"/>
    </row>
    <row r="14" ht="30" customHeight="1">
      <c r="A14" s="58" t="inlineStr">
        <is>
          <t>J7</t>
        </is>
      </c>
      <c r="B14" s="59" t="inlineStr">
        <is>
          <t>Jurídico</t>
        </is>
      </c>
      <c r="C14" s="63" t="inlineStr">
        <is>
          <t>Estrutural</t>
        </is>
      </c>
      <c r="D14" s="59" t="n">
        <v>2</v>
      </c>
      <c r="E14" s="59" t="inlineStr">
        <is>
          <t>Um produto genérico feito do zero, fora do horário e sem material dos MANUAIS, escapa da 13.13? Que provas de segregação preciso desde já?</t>
        </is>
      </c>
      <c r="F14" s="59" t="inlineStr">
        <is>
          <t>Define se o plano B existe — e as provas começam antes.</t>
        </is>
      </c>
      <c r="G14" s="59" t="inlineStr">
        <is>
          <t>Advogado de franquias</t>
        </is>
      </c>
      <c r="H14" s="61" t="inlineStr">
        <is>
          <t>Não iniciado</t>
        </is>
      </c>
      <c r="I14" s="61" t="inlineStr"/>
      <c r="J14" s="62" t="inlineStr"/>
    </row>
    <row r="15" ht="30" customHeight="1">
      <c r="A15" s="58" t="inlineStr">
        <is>
          <t>T4</t>
        </is>
      </c>
      <c r="B15" s="59" t="inlineStr">
        <is>
          <t>Trinks</t>
        </is>
      </c>
      <c r="C15" s="63" t="inlineStr">
        <is>
          <t>Estrutural</t>
        </is>
      </c>
      <c r="D15" s="59" t="n">
        <v>2</v>
      </c>
      <c r="E15" s="59" t="inlineStr">
        <is>
          <t>A parceria envolve taxa, participação na receita, ou é gratuita?</t>
        </is>
      </c>
      <c r="F15" s="59" t="inlineStr">
        <is>
          <t>Entra direto no custo variável por loja.</t>
        </is>
      </c>
      <c r="G15" s="59" t="inlineStr">
        <is>
          <t>Comercial Trinks</t>
        </is>
      </c>
      <c r="H15" s="61" t="inlineStr">
        <is>
          <t>Não iniciado</t>
        </is>
      </c>
      <c r="I15" s="61" t="inlineStr"/>
      <c r="J15" s="62" t="inlineStr"/>
    </row>
    <row r="16" ht="30" customHeight="1">
      <c r="A16" s="58" t="inlineStr">
        <is>
          <t>T5</t>
        </is>
      </c>
      <c r="B16" s="59" t="inlineStr">
        <is>
          <t>Trinks</t>
        </is>
      </c>
      <c r="C16" s="63" t="inlineStr">
        <is>
          <t>Estrutural</t>
        </is>
      </c>
      <c r="D16" s="59" t="n">
        <v>2</v>
      </c>
      <c r="E16" s="59" t="inlineStr">
        <is>
          <t>A API tem endpoints incrementais (updated_since, delta, webhooks) ou só paginação completa?</t>
        </is>
      </c>
      <c r="F16" s="59" t="inlineStr">
        <is>
          <t>Define o custo da Fase 3 e a economia de 70% de requisições.</t>
        </is>
      </c>
      <c r="G16" s="59" t="inlineStr">
        <is>
          <t>Documentação e suporte Trinks</t>
        </is>
      </c>
      <c r="H16" s="61" t="inlineStr">
        <is>
          <t>Não iniciado</t>
        </is>
      </c>
      <c r="I16" s="61" t="inlineStr"/>
      <c r="J16" s="62" t="inlineStr"/>
    </row>
    <row r="17" ht="30" customHeight="1">
      <c r="A17" s="58" t="inlineStr">
        <is>
          <t>T7</t>
        </is>
      </c>
      <c r="B17" s="59" t="inlineStr">
        <is>
          <t>Trinks</t>
        </is>
      </c>
      <c r="C17" s="63" t="inlineStr">
        <is>
          <t>Estrutural</t>
        </is>
      </c>
      <c r="D17" s="59" t="n">
        <v>2</v>
      </c>
      <c r="E17" s="59" t="inlineStr">
        <is>
          <t>A Trinks tem, ou planeja, produto próprio de BI ou gestão financeira?</t>
        </is>
      </c>
      <c r="F17" s="59" t="inlineStr">
        <is>
          <t>Se sim, o jogo é parceria e o timing fica urgente.</t>
        </is>
      </c>
      <c r="G17" s="59" t="inlineStr">
        <is>
          <t>Comercial Trinks</t>
        </is>
      </c>
      <c r="H17" s="61" t="inlineStr">
        <is>
          <t>Não iniciado</t>
        </is>
      </c>
      <c r="I17" s="61" t="inlineStr"/>
      <c r="J17" s="62" t="inlineStr"/>
    </row>
    <row r="18" ht="30" customHeight="1">
      <c r="A18" s="58" t="inlineStr">
        <is>
          <t>F1</t>
        </is>
      </c>
      <c r="B18" s="59" t="inlineStr">
        <is>
          <t>Franqueadora</t>
        </is>
      </c>
      <c r="C18" s="63" t="inlineStr">
        <is>
          <t>Estrutural</t>
        </is>
      </c>
      <c r="D18" s="59" t="n">
        <v>2</v>
      </c>
      <c r="E18" s="59" t="inlineStr">
        <is>
          <t>Existe projeto interno de BI, dados ou painel da rede em andamento?</t>
        </is>
      </c>
      <c r="F18" s="59" t="inlineStr">
        <is>
          <t>Se existe, o jogo é parceria ou venda — não licenciamento.</t>
        </is>
      </c>
      <c r="G18" s="59" t="inlineStr">
        <is>
          <t>Diretoria FE Franchising</t>
        </is>
      </c>
      <c r="H18" s="61" t="inlineStr">
        <is>
          <t>Não iniciado</t>
        </is>
      </c>
      <c r="I18" s="61" t="inlineStr"/>
      <c r="J18" s="62" t="inlineStr"/>
    </row>
    <row r="19" ht="30" customHeight="1">
      <c r="A19" s="58" t="inlineStr">
        <is>
          <t>F2</t>
        </is>
      </c>
      <c r="B19" s="59" t="inlineStr">
        <is>
          <t>Franqueadora</t>
        </is>
      </c>
      <c r="C19" s="63" t="inlineStr">
        <is>
          <t>Estrutural</t>
        </is>
      </c>
      <c r="D19" s="59" t="n">
        <v>2</v>
      </c>
      <c r="E19" s="59" t="inlineStr">
        <is>
          <t>Quem decide a homologação de um fornecedor? Processo e prazo típico?</t>
        </is>
      </c>
      <c r="F19" s="59" t="inlineStr">
        <is>
          <t>Define o cronograma real da etapa de homologação.</t>
        </is>
      </c>
      <c r="G19" s="59" t="inlineStr">
        <is>
          <t>Operações FE Franchising</t>
        </is>
      </c>
      <c r="H19" s="61" t="inlineStr">
        <is>
          <t>Não iniciado</t>
        </is>
      </c>
      <c r="I19" s="61" t="inlineStr"/>
      <c r="J19" s="62" t="inlineStr"/>
    </row>
    <row r="20" ht="30" customHeight="1">
      <c r="A20" s="58" t="inlineStr">
        <is>
          <t>F3</t>
        </is>
      </c>
      <c r="B20" s="59" t="inlineStr">
        <is>
          <t>Franqueadora</t>
        </is>
      </c>
      <c r="C20" s="63" t="inlineStr">
        <is>
          <t>Estrutural</t>
        </is>
      </c>
      <c r="D20" s="59" t="n">
        <v>2</v>
      </c>
      <c r="E20" s="59" t="inlineStr">
        <is>
          <t>Quais os critérios de homologação — certificações, seguro, capital, contrato-tipo?</t>
        </is>
      </c>
      <c r="F20" s="59" t="inlineStr">
        <is>
          <t>Pode exigir estrutura societária e capital antes do previsto.</t>
        </is>
      </c>
      <c r="G20" s="59" t="inlineStr">
        <is>
          <t>Operações FE Franchising</t>
        </is>
      </c>
      <c r="H20" s="61" t="inlineStr">
        <is>
          <t>Não iniciado</t>
        </is>
      </c>
      <c r="I20" s="61" t="inlineStr"/>
      <c r="J20" s="62" t="inlineStr"/>
    </row>
    <row r="21" ht="30" customHeight="1">
      <c r="A21" s="58" t="inlineStr">
        <is>
          <t>F4</t>
        </is>
      </c>
      <c r="B21" s="59" t="inlineStr">
        <is>
          <t>Franqueadora</t>
        </is>
      </c>
      <c r="C21" s="63" t="inlineStr">
        <is>
          <t>Estrutural</t>
        </is>
      </c>
      <c r="D21" s="59" t="n">
        <v>2</v>
      </c>
      <c r="E21" s="59" t="inlineStr">
        <is>
          <t>Existe contrato-tipo de Fornecedor Homologado? Exclusividade, participação, prazo, rescisão?</t>
        </is>
      </c>
      <c r="F21" s="59" t="inlineStr">
        <is>
          <t>Entra direto no modelo — ver cenários de participação.</t>
        </is>
      </c>
      <c r="G21" s="59" t="inlineStr">
        <is>
          <t>Jurídico FE Franchising</t>
        </is>
      </c>
      <c r="H21" s="61" t="inlineStr">
        <is>
          <t>Não iniciado</t>
        </is>
      </c>
      <c r="I21" s="61" t="inlineStr"/>
      <c r="J21" s="62" t="inlineStr"/>
    </row>
    <row r="22" ht="30" customHeight="1">
      <c r="A22" s="58" t="inlineStr">
        <is>
          <t>F5</t>
        </is>
      </c>
      <c r="B22" s="59" t="inlineStr">
        <is>
          <t>Franqueadora</t>
        </is>
      </c>
      <c r="C22" s="63" t="inlineStr">
        <is>
          <t>Estrutural</t>
        </is>
      </c>
      <c r="D22" s="59" t="n">
        <v>2</v>
      </c>
      <c r="E22" s="59" t="inlineStr">
        <is>
          <t>Qual o escopo do Sults hoje? Ele já faz, ou vai fazer, parte do que o FAST Insights faz?</t>
        </is>
      </c>
      <c r="F22" s="59" t="inlineStr">
        <is>
          <t>Se houver sobreposição, integrar em vez de competir.</t>
        </is>
      </c>
      <c r="G22" s="59" t="inlineStr">
        <is>
          <t>Operações FE Franchising</t>
        </is>
      </c>
      <c r="H22" s="61" t="inlineStr">
        <is>
          <t>Não iniciado</t>
        </is>
      </c>
      <c r="I22" s="61" t="inlineStr"/>
      <c r="J22" s="62" t="inlineStr"/>
    </row>
    <row r="23" ht="30" customHeight="1">
      <c r="A23" s="58" t="inlineStr">
        <is>
          <t>F8</t>
        </is>
      </c>
      <c r="B23" s="59" t="inlineStr">
        <is>
          <t>Franqueadora</t>
        </is>
      </c>
      <c r="C23" s="63" t="inlineStr">
        <is>
          <t>Estrutural</t>
        </is>
      </c>
      <c r="D23" s="59" t="n">
        <v>2</v>
      </c>
      <c r="E23" s="59" t="inlineStr">
        <is>
          <t>Qual o apetite: comprar o ativo, licenciar, entrar como sócia, ou construir?</t>
        </is>
      </c>
      <c r="F23" s="59" t="inlineStr">
        <is>
          <t>Define qual das três estruturas propor primeiro.</t>
        </is>
      </c>
      <c r="G23" s="59" t="inlineStr">
        <is>
          <t>Diretoria FE Franchising</t>
        </is>
      </c>
      <c r="H23" s="61" t="inlineStr">
        <is>
          <t>Não iniciado</t>
        </is>
      </c>
      <c r="I23" s="61" t="inlineStr"/>
      <c r="J23" s="62" t="inlineStr"/>
    </row>
    <row r="24" ht="30" customHeight="1">
      <c r="A24" s="58" t="inlineStr">
        <is>
          <t>M1</t>
        </is>
      </c>
      <c r="B24" s="59" t="inlineStr">
        <is>
          <t>Mercado</t>
        </is>
      </c>
      <c r="C24" s="63" t="inlineStr">
        <is>
          <t>Estrutural</t>
        </is>
      </c>
      <c r="D24" s="59" t="n">
        <v>2</v>
      </c>
      <c r="E24" s="59" t="inlineStr">
        <is>
          <t>Qual a primeira métrica que o franqueado olha de manhã? Que pergunta ele não consegue responder hoje?</t>
        </is>
      </c>
      <c r="F24" s="59" t="inlineStr">
        <is>
          <t>Define o que vai no plano Essencial — e o que corta.</t>
        </is>
      </c>
      <c r="G24" s="59" t="inlineStr">
        <is>
          <t>8 a 10 franqueados</t>
        </is>
      </c>
      <c r="H24" s="61" t="inlineStr">
        <is>
          <t>Não iniciado</t>
        </is>
      </c>
      <c r="I24" s="61" t="inlineStr"/>
      <c r="J24" s="62" t="inlineStr"/>
    </row>
    <row r="25" ht="30" customHeight="1">
      <c r="A25" s="58" t="inlineStr">
        <is>
          <t>M2</t>
        </is>
      </c>
      <c r="B25" s="59" t="inlineStr">
        <is>
          <t>Mercado</t>
        </is>
      </c>
      <c r="C25" s="63" t="inlineStr">
        <is>
          <t>Estrutural</t>
        </is>
      </c>
      <c r="D25" s="59" t="n">
        <v>2</v>
      </c>
      <c r="E25" s="59" t="inlineStr">
        <is>
          <t>Quanto pagaria? Teste de preço com R$ 199, R$ 349 e R$ 549.</t>
        </is>
      </c>
      <c r="F25" s="59" t="inlineStr">
        <is>
          <t>Valida ou derruba o ticket que sustenta todo o modelo.</t>
        </is>
      </c>
      <c r="G25" s="59" t="inlineStr">
        <is>
          <t>8 a 10 franqueados</t>
        </is>
      </c>
      <c r="H25" s="61" t="inlineStr">
        <is>
          <t>Não iniciado</t>
        </is>
      </c>
      <c r="I25" s="61" t="inlineStr"/>
      <c r="J25" s="62" t="inlineStr"/>
    </row>
    <row r="26" ht="30" customHeight="1">
      <c r="A26" s="58" t="inlineStr">
        <is>
          <t>F6</t>
        </is>
      </c>
      <c r="B26" s="59" t="inlineStr">
        <is>
          <t>Franqueadora</t>
        </is>
      </c>
      <c r="C26" s="64" t="inlineStr">
        <is>
          <t>Refinamento</t>
        </is>
      </c>
      <c r="D26" s="59" t="n">
        <v>3</v>
      </c>
      <c r="E26" s="59" t="inlineStr">
        <is>
          <t>A franqueadora coleta dados das lojas hoje? Como e para quê?</t>
        </is>
      </c>
      <c r="F26" s="59" t="inlineStr">
        <is>
          <t>Dimensiona o valor do Painel da Rede e o preço que suporta.</t>
        </is>
      </c>
      <c r="G26" s="59" t="inlineStr">
        <is>
          <t>Operações FE Franchising</t>
        </is>
      </c>
      <c r="H26" s="61" t="inlineStr">
        <is>
          <t>Não iniciado</t>
        </is>
      </c>
      <c r="I26" s="61" t="inlineStr"/>
      <c r="J26" s="62" t="inlineStr"/>
    </row>
    <row r="27" ht="30" customHeight="1">
      <c r="A27" s="58" t="inlineStr">
        <is>
          <t>F7</t>
        </is>
      </c>
      <c r="B27" s="59" t="inlineStr">
        <is>
          <t>Franqueadora</t>
        </is>
      </c>
      <c r="C27" s="64" t="inlineStr">
        <is>
          <t>Refinamento</t>
        </is>
      </c>
      <c r="D27" s="59" t="n">
        <v>3</v>
      </c>
      <c r="E27" s="59" t="inlineStr">
        <is>
          <t>O Conselho de Franqueados pode pautar isso? Quando é a próxima reunião?</t>
        </is>
      </c>
      <c r="F27" s="59" t="inlineStr">
        <is>
          <t>É o canal mais barato de validação com a rede.</t>
        </is>
      </c>
      <c r="G27" s="59" t="inlineStr">
        <is>
          <t>Conselho de Franqueados</t>
        </is>
      </c>
      <c r="H27" s="61" t="inlineStr">
        <is>
          <t>Não iniciado</t>
        </is>
      </c>
      <c r="I27" s="61" t="inlineStr"/>
      <c r="J27" s="62" t="inlineStr"/>
    </row>
    <row r="28" ht="30" customHeight="1">
      <c r="A28" s="58" t="inlineStr">
        <is>
          <t>T6</t>
        </is>
      </c>
      <c r="B28" s="59" t="inlineStr">
        <is>
          <t>Trinks</t>
        </is>
      </c>
      <c r="C28" s="64" t="inlineStr">
        <is>
          <t>Refinamento</t>
        </is>
      </c>
      <c r="D28" s="59" t="n">
        <v>3</v>
      </c>
      <c r="E28" s="59" t="inlineStr">
        <is>
          <t>Quantos salões no Brasil usam Trinks? Existe base fora da rede FAST?</t>
        </is>
      </c>
      <c r="F28" s="59" t="inlineStr">
        <is>
          <t>Dimensiona o TAM e a viabilidade do plano B.</t>
        </is>
      </c>
      <c r="G28" s="59" t="inlineStr">
        <is>
          <t>Comercial Trinks</t>
        </is>
      </c>
      <c r="H28" s="61" t="inlineStr">
        <is>
          <t>Não iniciado</t>
        </is>
      </c>
      <c r="I28" s="61" t="inlineStr"/>
      <c r="J28" s="62" t="inlineStr"/>
    </row>
    <row r="29" ht="30" customHeight="1">
      <c r="A29" s="58" t="inlineStr">
        <is>
          <t>M3</t>
        </is>
      </c>
      <c r="B29" s="59" t="inlineStr">
        <is>
          <t>Mercado</t>
        </is>
      </c>
      <c r="C29" s="64" t="inlineStr">
        <is>
          <t>Refinamento</t>
        </is>
      </c>
      <c r="D29" s="59" t="n">
        <v>3</v>
      </c>
      <c r="E29" s="59" t="inlineStr">
        <is>
          <t>Que ferramentas o franqueado usa além de Trinks e Sults, e quanto gasta?</t>
        </is>
      </c>
      <c r="F29" s="59" t="inlineStr">
        <is>
          <t>Mostra o orçamento disponível e a disposição real de pagar.</t>
        </is>
      </c>
      <c r="G29" s="59" t="inlineStr">
        <is>
          <t>8 a 10 franqueados</t>
        </is>
      </c>
      <c r="H29" s="61" t="inlineStr">
        <is>
          <t>Não iniciado</t>
        </is>
      </c>
      <c r="I29" s="61" t="inlineStr"/>
      <c r="J29" s="62" t="inlineStr"/>
    </row>
    <row r="30" ht="30" customHeight="1">
      <c r="A30" s="58" t="inlineStr">
        <is>
          <t>M4</t>
        </is>
      </c>
      <c r="B30" s="59" t="inlineStr">
        <is>
          <t>Mercado</t>
        </is>
      </c>
      <c r="C30" s="64" t="inlineStr">
        <is>
          <t>Refinamento</t>
        </is>
      </c>
      <c r="D30" s="59" t="n">
        <v>3</v>
      </c>
      <c r="E30" s="59" t="inlineStr">
        <is>
          <t>Quantas lojas da rede são multi-unidade, com o mesmo dono?</t>
        </is>
      </c>
      <c r="F30" s="59" t="inlineStr">
        <is>
          <t>Muda o produto e o preço (desconto por grupo).</t>
        </is>
      </c>
      <c r="G30" s="59" t="inlineStr">
        <is>
          <t>Franqueadora ou colegas</t>
        </is>
      </c>
      <c r="H30" s="61" t="inlineStr">
        <is>
          <t>Não iniciado</t>
        </is>
      </c>
      <c r="I30" s="61" t="inlineStr"/>
      <c r="J30" s="62" t="inlineStr"/>
    </row>
    <row r="31" ht="30" customHeight="1">
      <c r="A31" s="58" t="inlineStr">
        <is>
          <t>P2</t>
        </is>
      </c>
      <c r="B31" s="59" t="inlineStr">
        <is>
          <t>Produto</t>
        </is>
      </c>
      <c r="C31" s="63" t="inlineStr">
        <is>
          <t>Estrutural</t>
        </is>
      </c>
      <c r="D31" s="59" t="n">
        <v>3</v>
      </c>
      <c r="E31" s="59" t="inlineStr">
        <is>
          <t>Quantas requisições por loja/mês em regime, com ingestão incremental?</t>
        </is>
      </c>
      <c r="F31" s="59" t="inlineStr">
        <is>
          <t>Se estourar a cota, não escala sem contrato especial.</t>
        </is>
      </c>
      <c r="G31" s="59" t="inlineStr">
        <is>
          <t>Você, medindo</t>
        </is>
      </c>
      <c r="H31" s="61" t="inlineStr">
        <is>
          <t>Não iniciado</t>
        </is>
      </c>
      <c r="I31" s="61" t="inlineStr"/>
      <c r="J31" s="62" t="inlineStr"/>
    </row>
    <row r="32" ht="30" customHeight="1">
      <c r="A32" s="58" t="inlineStr">
        <is>
          <t>P3</t>
        </is>
      </c>
      <c r="B32" s="59" t="inlineStr">
        <is>
          <t>Produto</t>
        </is>
      </c>
      <c r="C32" s="63" t="inlineStr">
        <is>
          <t>Estrutural</t>
        </is>
      </c>
      <c r="D32" s="59" t="n">
        <v>3</v>
      </c>
      <c r="E32" s="59" t="inlineStr">
        <is>
          <t>Quais adquirentes as lojas usam? Stone é universal? Têm API?</t>
        </is>
      </c>
      <c r="F32" s="59" t="inlineStr">
        <is>
          <t>Define se a conciliação funciona fora da Limão.</t>
        </is>
      </c>
      <c r="G32" s="59" t="inlineStr">
        <is>
          <t>Você + franqueados</t>
        </is>
      </c>
      <c r="H32" s="61" t="inlineStr">
        <is>
          <t>Não iniciado</t>
        </is>
      </c>
      <c r="I32" s="61" t="inlineStr"/>
      <c r="J32" s="62" t="inlineStr"/>
    </row>
    <row r="33" ht="30" customHeight="1">
      <c r="A33" s="58" t="inlineStr">
        <is>
          <t>P4</t>
        </is>
      </c>
      <c r="B33" s="59" t="inlineStr">
        <is>
          <t>Produto</t>
        </is>
      </c>
      <c r="C33" s="63" t="inlineStr">
        <is>
          <t>Estrutural</t>
        </is>
      </c>
      <c r="D33" s="59" t="n">
        <v>3</v>
      </c>
      <c r="E33" s="59" t="inlineStr">
        <is>
          <t>Quanto do financeiro dá para automatizar sem Excel? Existe DRE padronizado da rede?</t>
        </is>
      </c>
      <c r="F33" s="59" t="inlineStr">
        <is>
          <t>Se houver modelo da rede, a Fase 2 encolhe muito.</t>
        </is>
      </c>
      <c r="G33" s="59" t="inlineStr">
        <is>
          <t>Você + franqueadora</t>
        </is>
      </c>
      <c r="H33" s="61" t="inlineStr">
        <is>
          <t>Não iniciado</t>
        </is>
      </c>
      <c r="I33" s="61" t="inlineStr"/>
      <c r="J33" s="62" t="inlineStr"/>
    </row>
    <row r="34" ht="30" customHeight="1">
      <c r="A34" s="58" t="inlineStr">
        <is>
          <t>P1</t>
        </is>
      </c>
      <c r="B34" s="59" t="inlineStr">
        <is>
          <t>Produto</t>
        </is>
      </c>
      <c r="C34" s="64" t="inlineStr">
        <is>
          <t>Refinamento</t>
        </is>
      </c>
      <c r="D34" s="59" t="n">
        <v>3</v>
      </c>
      <c r="E34" s="59" t="inlineStr">
        <is>
          <t>Custo real de infraestrutura por loja, medido com 5 lojas rodando.</t>
        </is>
      </c>
      <c r="F34" s="59" t="inlineStr">
        <is>
          <t>Modelado em R$ 8. Se for R$ 30, a margem cai para 78%.</t>
        </is>
      </c>
      <c r="G34" s="59" t="inlineStr">
        <is>
          <t>Você, medindo</t>
        </is>
      </c>
      <c r="H34" s="61" t="inlineStr">
        <is>
          <t>Não iniciado</t>
        </is>
      </c>
      <c r="I34" s="61" t="inlineStr"/>
      <c r="J34" s="62" t="inlineStr"/>
    </row>
    <row r="35" ht="30" customHeight="1">
      <c r="A35" s="58" t="inlineStr">
        <is>
          <t>P5</t>
        </is>
      </c>
      <c r="B35" s="59" t="inlineStr">
        <is>
          <t>Produto</t>
        </is>
      </c>
      <c r="C35" s="64" t="inlineStr">
        <is>
          <t>Refinamento</t>
        </is>
      </c>
      <c r="D35" s="59" t="n">
        <v>3</v>
      </c>
      <c r="E35" s="59" t="inlineStr">
        <is>
          <t>Qual BSP de WhatsApp usar, com que custo de setup e por conversa?</t>
        </is>
      </c>
      <c r="F35" s="59" t="inlineStr">
        <is>
          <t>Define a viabilidade do plano Crescimento.</t>
        </is>
      </c>
      <c r="G35" s="59" t="inlineStr">
        <is>
          <t>Você, cotando</t>
        </is>
      </c>
      <c r="H35" s="61" t="inlineStr">
        <is>
          <t>Não iniciado</t>
        </is>
      </c>
      <c r="I35" s="61" t="inlineStr"/>
      <c r="J35" s="62" t="inlineStr"/>
    </row>
    <row r="36" ht="30" customHeight="1">
      <c r="A36" s="58" t="inlineStr">
        <is>
          <t>N3</t>
        </is>
      </c>
      <c r="B36" s="59" t="inlineStr">
        <is>
          <t>Números</t>
        </is>
      </c>
      <c r="C36" s="63" t="inlineStr">
        <is>
          <t>Estrutural</t>
        </is>
      </c>
      <c r="D36" s="59" t="n">
        <v>3</v>
      </c>
      <c r="E36" s="59" t="inlineStr">
        <is>
          <t>Regime tributário da PJ de software: Simples, Lucro Presumido, alíquota de ISS?</t>
        </is>
      </c>
      <c r="F36" s="59" t="inlineStr">
        <is>
          <t>Pode consumir 6% a 16% da receita — hoje zerado no modelo.</t>
        </is>
      </c>
      <c r="G36" s="59" t="inlineStr">
        <is>
          <t>Contador</t>
        </is>
      </c>
      <c r="H36" s="61" t="inlineStr">
        <is>
          <t>Não iniciado</t>
        </is>
      </c>
      <c r="I36" s="61" t="inlineStr"/>
      <c r="J36" s="62" t="inlineStr"/>
    </row>
    <row r="37" ht="30" customHeight="1">
      <c r="A37" s="58" t="inlineStr">
        <is>
          <t>N1</t>
        </is>
      </c>
      <c r="B37" s="59" t="inlineStr">
        <is>
          <t>Números</t>
        </is>
      </c>
      <c r="C37" s="64" t="inlineStr">
        <is>
          <t>Refinamento</t>
        </is>
      </c>
      <c r="D37" s="59" t="n">
        <v>3</v>
      </c>
      <c r="E37" s="59" t="inlineStr">
        <is>
          <t>Preço real da conversa de marketing no WhatsApp, tabela Meta Brasil vigente.</t>
        </is>
      </c>
      <c r="F37" s="59" t="inlineStr">
        <is>
          <t>É repasse, então não afeta margem — mas afeta a proposta.</t>
        </is>
      </c>
      <c r="G37" s="59" t="inlineStr">
        <is>
          <t>Meta / BSP</t>
        </is>
      </c>
      <c r="H37" s="61" t="inlineStr">
        <is>
          <t>Não iniciado</t>
        </is>
      </c>
      <c r="I37" s="61" t="inlineStr"/>
      <c r="J37" s="62" t="inlineStr"/>
    </row>
    <row r="38" ht="30" customHeight="1">
      <c r="A38" s="58" t="inlineStr">
        <is>
          <t>N2</t>
        </is>
      </c>
      <c r="B38" s="59" t="inlineStr">
        <is>
          <t>Números</t>
        </is>
      </c>
      <c r="C38" s="64" t="inlineStr">
        <is>
          <t>Refinamento</t>
        </is>
      </c>
      <c r="D38" s="59" t="n">
        <v>3</v>
      </c>
      <c r="E38" s="59" t="inlineStr">
        <is>
          <t>Custo real de suporte por loja, medido no piloto.</t>
        </is>
      </c>
      <c r="F38" s="59" t="inlineStr">
        <is>
          <t>Modelado em R$ 34. É o maior componente do custo variável.</t>
        </is>
      </c>
      <c r="G38" s="59" t="inlineStr">
        <is>
          <t>Você, medindo</t>
        </is>
      </c>
      <c r="H38" s="61" t="inlineStr">
        <is>
          <t>Não iniciado</t>
        </is>
      </c>
      <c r="I38" s="61" t="inlineStr"/>
      <c r="J38" s="62" t="inlineStr"/>
    </row>
    <row r="40">
      <c r="A40" s="3" t="inlineStr">
        <is>
          <t>Progresso</t>
        </is>
      </c>
      <c r="E40" s="12">
        <f>COUNTIF(H5:H38,"Respondido")&amp;" de 34 respondidos"</f>
        <v/>
      </c>
    </row>
    <row r="41">
      <c r="E41" s="12">
        <f>COUNTIFS(C5:C38,"Bloqueante",H5:H38,"Respondido")&amp;" de 6 bloqueantes respondidos"</f>
        <v/>
      </c>
    </row>
    <row r="43">
      <c r="A43" s="2" t="inlineStr">
        <is>
          <t>Seis itens bloqueantes. Um advogado e três telefonemas — é todo o custo de descobrir se este projeto existe.</t>
        </is>
      </c>
    </row>
  </sheetData>
  <dataValidations count="1">
    <dataValidation sqref="H5:H38" showDropDown="0" showInputMessage="0" showErrorMessage="0" allowBlank="1" type="list">
      <formula1>"Não iniciado,Em andamento,Respondido,Descartado"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2026-09-08T18:15:44Z</dcterms:created>
  <dcterms:modified xsi:type="dcterms:W3CDTF">2026-09-08T18:15:45Z</dcterms:modified>
</cp:coreProperties>
</file>